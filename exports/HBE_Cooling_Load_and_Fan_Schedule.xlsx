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ling Load" sheetId="1" state="visible" r:id="rId1"/>
    <sheet xmlns:r="http://schemas.openxmlformats.org/officeDocument/2006/relationships" name="Fan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dotted"/>
      <bottom style="dotted"/>
    </border>
    <border>
      <left style="thin"/>
      <right style="thin"/>
      <top style="dotted"/>
      <bottom style="medium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2" fontId="3" fillId="0" borderId="2" applyAlignment="1" pivotButton="0" quotePrefix="0" xfId="0">
      <alignment horizontal="right" vertical="center"/>
    </xf>
    <xf numFmtId="164" fontId="3" fillId="0" borderId="2" applyAlignment="1" pivotButton="0" quotePrefix="0" xfId="0">
      <alignment horizontal="center" vertical="center" wrapText="1"/>
    </xf>
    <xf numFmtId="2" fontId="3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3" fontId="3" fillId="0" borderId="2" applyAlignment="1" pivotButton="0" quotePrefix="0" xfId="0">
      <alignment horizontal="center" vertical="center" wrapText="1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2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24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7" customWidth="1" min="12" max="12"/>
    <col width="21" customWidth="1" min="13" max="13"/>
    <col width="8" customWidth="1" min="14" max="14"/>
    <col width="5" customWidth="1" min="15" max="15"/>
    <col width="22" customWidth="1" min="16" max="16"/>
    <col width="14" customWidth="1" min="17" max="17"/>
    <col width="18" customWidth="1" min="18" max="18"/>
  </cols>
  <sheetData>
    <row r="1">
      <c r="A1" s="1" t="inlineStr">
        <is>
          <t>COOLING LOAD CALCULATION</t>
        </is>
      </c>
    </row>
    <row r="2">
      <c r="A2" s="2" t="inlineStr">
        <is>
          <t>PROJECT: HBE_HANUMAN BREWERY EXTENSION</t>
        </is>
      </c>
      <c r="P2" s="3" t="inlineStr">
        <is>
          <t>DATE</t>
        </is>
      </c>
      <c r="Q2" s="3" t="inlineStr">
        <is>
          <t>: 27 Oct 2026</t>
        </is>
      </c>
    </row>
    <row r="3">
      <c r="A3" s="2" t="inlineStr">
        <is>
          <t>LOCATION : FINISH GOOD WAREHOUSE BUILDING , ST. 2004, SANGKAT O BEK KAM, KHAN SEN SOK, PHNOM PENH, CAMBODIA</t>
        </is>
      </c>
      <c r="P3" s="3" t="inlineStr">
        <is>
          <t>REV.</t>
        </is>
      </c>
      <c r="Q3" s="3" t="inlineStr">
        <is>
          <t>: 0</t>
        </is>
      </c>
    </row>
    <row r="4">
      <c r="A4" s="2" t="inlineStr">
        <is>
          <t>PREPARED  BY: ANNE HERLIANA</t>
        </is>
      </c>
      <c r="P4" s="3" t="inlineStr">
        <is>
          <t>CHECKED BY</t>
        </is>
      </c>
      <c r="Q4" s="3" t="inlineStr">
        <is>
          <t>: JAIME QUILALA</t>
        </is>
      </c>
    </row>
    <row r="6">
      <c r="A6" s="4" t="inlineStr">
        <is>
          <t>NO.</t>
        </is>
      </c>
      <c r="B6" s="4" t="inlineStr">
        <is>
          <t>ROOM NO</t>
        </is>
      </c>
      <c r="C6" s="4" t="inlineStr">
        <is>
          <t>LEVEL</t>
        </is>
      </c>
      <c r="D6" s="4" t="inlineStr">
        <is>
          <t>ROOM NAME</t>
        </is>
      </c>
      <c r="E6" s="4" t="inlineStr">
        <is>
          <t>AREA (M²)</t>
        </is>
      </c>
      <c r="F6" s="5" t="inlineStr">
        <is>
          <t>CALCULATION AS PER HAP SOFTWARE</t>
        </is>
      </c>
      <c r="G6" s="6" t="n"/>
      <c r="H6" s="6" t="n"/>
      <c r="I6" s="6" t="n"/>
      <c r="J6" s="6" t="n"/>
      <c r="K6" s="7" t="inlineStr">
        <is>
          <t>SELECTION EQUIPMENT DAIKIN</t>
        </is>
      </c>
      <c r="L6" s="8" t="n"/>
      <c r="M6" s="8" t="n"/>
      <c r="N6" s="8" t="n"/>
      <c r="O6" s="8" t="n"/>
      <c r="P6" s="8" t="n"/>
      <c r="Q6" s="8" t="n"/>
      <c r="R6" s="4" t="inlineStr">
        <is>
          <t>REMARK</t>
        </is>
      </c>
    </row>
    <row r="7" ht="36" customHeight="1">
      <c r="A7" s="9" t="n"/>
      <c r="B7" s="9" t="n"/>
      <c r="C7" s="9" t="n"/>
      <c r="D7" s="9" t="n"/>
      <c r="E7" s="9" t="n"/>
      <c r="F7" s="4" t="inlineStr">
        <is>
          <t>DESIGN TEMP. (°C)</t>
        </is>
      </c>
      <c r="G7" s="4" t="inlineStr">
        <is>
          <t>SENSIBLE LOAD (KW)</t>
        </is>
      </c>
      <c r="H7" s="4" t="inlineStr">
        <is>
          <t>LATENT LOAD (KW)</t>
        </is>
      </c>
      <c r="I7" s="4" t="inlineStr">
        <is>
          <t>TOTAL LOAD (KW)</t>
        </is>
      </c>
      <c r="J7" s="4" t="inlineStr">
        <is>
          <t>AIRFLOW (CMH)</t>
        </is>
      </c>
      <c r="K7" s="4" t="inlineStr">
        <is>
          <t>TAG NO</t>
        </is>
      </c>
      <c r="L7" s="4" t="inlineStr">
        <is>
          <t>TYPE</t>
        </is>
      </c>
      <c r="M7" s="4" t="inlineStr">
        <is>
          <t>MODEL</t>
        </is>
      </c>
      <c r="N7" s="4" t="inlineStr">
        <is>
          <t>TOTAL LOAD (KW)</t>
        </is>
      </c>
      <c r="O7" s="4" t="inlineStr">
        <is>
          <t>QTY</t>
        </is>
      </c>
      <c r="P7" s="4" t="inlineStr">
        <is>
          <t>POWER SUPPLY VOLTAGE - PHASE</t>
        </is>
      </c>
      <c r="Q7" s="4" t="inlineStr">
        <is>
          <t>POWER CONSUMPTION (kW)</t>
        </is>
      </c>
      <c r="R7" s="9" t="n"/>
    </row>
    <row r="8">
      <c r="A8" s="10" t="n">
        <v>1</v>
      </c>
      <c r="B8" s="10" t="inlineStr">
        <is>
          <t>D-001</t>
        </is>
      </c>
      <c r="C8" s="11" t="inlineStr">
        <is>
          <t>Finish Good Warehouse -GF</t>
        </is>
      </c>
      <c r="D8" s="11" t="inlineStr">
        <is>
          <t>TAX OFF</t>
        </is>
      </c>
      <c r="E8" s="12" t="n">
        <v>26</v>
      </c>
      <c r="F8" s="10" t="inlineStr">
        <is>
          <t>24±2</t>
        </is>
      </c>
      <c r="G8" s="13" t="n">
        <v>3.1</v>
      </c>
      <c r="H8" s="13" t="n">
        <v>1.1</v>
      </c>
      <c r="I8" s="13">
        <f>G8+H8</f>
        <v/>
      </c>
      <c r="J8" s="13" t="n">
        <v>1015.2</v>
      </c>
      <c r="K8" s="10" t="inlineStr">
        <is>
          <t>IU/OU D-001</t>
        </is>
      </c>
      <c r="L8" s="10" t="inlineStr">
        <is>
          <t>WALL MOUNTED</t>
        </is>
      </c>
      <c r="M8" s="10" t="inlineStr">
        <is>
          <t>FTKE50AV1F/RKE50AV1</t>
        </is>
      </c>
      <c r="N8" s="14" t="n">
        <v>5.28</v>
      </c>
      <c r="O8" s="10" t="n">
        <v>1</v>
      </c>
      <c r="P8" s="10" t="inlineStr">
        <is>
          <t>220V-240V / 50 HZ</t>
        </is>
      </c>
      <c r="Q8" s="14" t="n">
        <v>0.89</v>
      </c>
      <c r="R8" s="10" t="n"/>
    </row>
    <row r="9">
      <c r="A9" s="10" t="n">
        <v>2</v>
      </c>
      <c r="B9" s="10" t="inlineStr">
        <is>
          <t>D-002</t>
        </is>
      </c>
      <c r="C9" s="11" t="inlineStr">
        <is>
          <t>Finish Good Warehouse -GF</t>
        </is>
      </c>
      <c r="D9" s="11" t="inlineStr">
        <is>
          <t>DRIVER RM</t>
        </is>
      </c>
      <c r="E9" s="12" t="n">
        <v>48</v>
      </c>
      <c r="F9" s="10" t="inlineStr">
        <is>
          <t>24±2</t>
        </is>
      </c>
      <c r="G9" s="13" t="n">
        <v>5.6</v>
      </c>
      <c r="H9" s="13" t="n">
        <v>2.9</v>
      </c>
      <c r="I9" s="13">
        <f>G9+H9</f>
        <v/>
      </c>
      <c r="J9" s="13" t="n">
        <v>1702.8</v>
      </c>
      <c r="K9" s="10" t="inlineStr">
        <is>
          <t>IU/OU D-002</t>
        </is>
      </c>
      <c r="L9" s="10" t="inlineStr">
        <is>
          <t>CEILING CASSETTE</t>
        </is>
      </c>
      <c r="M9" s="10" t="inlineStr">
        <is>
          <t>FCF100CVM/RZF100CYM</t>
        </is>
      </c>
      <c r="N9" s="14" t="n">
        <v>10</v>
      </c>
      <c r="O9" s="10" t="n">
        <v>1</v>
      </c>
      <c r="P9" s="10" t="inlineStr">
        <is>
          <t>3 PHASE , 380-415 V, 50 HZ</t>
        </is>
      </c>
      <c r="Q9" s="14" t="n">
        <v>2.97</v>
      </c>
      <c r="R9" s="10" t="n"/>
    </row>
    <row r="10">
      <c r="A10" s="10" t="n">
        <v>3</v>
      </c>
      <c r="B10" s="10" t="inlineStr">
        <is>
          <t>D-008</t>
        </is>
      </c>
      <c r="C10" s="11" t="inlineStr">
        <is>
          <t>Finish Good Warehouse -GF</t>
        </is>
      </c>
      <c r="D10" s="11" t="inlineStr">
        <is>
          <t>LOGISTIS OFF. MANAGER</t>
        </is>
      </c>
      <c r="E10" s="12" t="n">
        <v>10</v>
      </c>
      <c r="F10" s="10" t="inlineStr">
        <is>
          <t>24±2</t>
        </is>
      </c>
      <c r="G10" s="13" t="n">
        <v>0.9</v>
      </c>
      <c r="H10" s="13" t="n">
        <v>0.5</v>
      </c>
      <c r="I10" s="13">
        <f>G10+H10</f>
        <v/>
      </c>
      <c r="J10" s="13" t="n">
        <v>277.2</v>
      </c>
      <c r="K10" s="10" t="inlineStr">
        <is>
          <t>IU/OU D-003</t>
        </is>
      </c>
      <c r="L10" s="10" t="inlineStr">
        <is>
          <t>WALL MOUNTED</t>
        </is>
      </c>
      <c r="M10" s="10" t="inlineStr">
        <is>
          <t>FTKE25AV1F/RKE25AV1</t>
        </is>
      </c>
      <c r="N10" s="14" t="n">
        <v>2.64</v>
      </c>
      <c r="O10" s="10" t="n">
        <v>1</v>
      </c>
      <c r="P10" s="10" t="inlineStr">
        <is>
          <t>220V-240V / 50 HZ</t>
        </is>
      </c>
      <c r="Q10" s="14" t="n">
        <v>0.89</v>
      </c>
      <c r="R10" s="10" t="n"/>
    </row>
    <row r="11">
      <c r="A11" s="10" t="n">
        <v>4</v>
      </c>
      <c r="B11" s="10" t="inlineStr">
        <is>
          <t>D-009</t>
        </is>
      </c>
      <c r="C11" s="11" t="inlineStr">
        <is>
          <t>Finish Good Warehouse -GF</t>
        </is>
      </c>
      <c r="D11" s="11" t="inlineStr">
        <is>
          <t>LOGISTIS OFF.</t>
        </is>
      </c>
      <c r="E11" s="12" t="n">
        <v>42</v>
      </c>
      <c r="F11" s="10" t="inlineStr">
        <is>
          <t>24±2</t>
        </is>
      </c>
      <c r="G11" s="13" t="n">
        <v>4</v>
      </c>
      <c r="H11" s="13" t="n">
        <v>1.1</v>
      </c>
      <c r="I11" s="13">
        <f>G11+H11</f>
        <v/>
      </c>
      <c r="J11" s="13" t="n">
        <v>1310.4</v>
      </c>
      <c r="K11" s="10" t="inlineStr">
        <is>
          <t>IU/OU D-004</t>
        </is>
      </c>
      <c r="L11" s="10" t="inlineStr">
        <is>
          <t>WALL MOUNTED</t>
        </is>
      </c>
      <c r="M11" s="10" t="inlineStr">
        <is>
          <t>FTKE50AV1F/RKE50AV1</t>
        </is>
      </c>
      <c r="N11" s="14" t="n">
        <v>5.6</v>
      </c>
      <c r="O11" s="10" t="n">
        <v>1</v>
      </c>
      <c r="P11" s="10" t="inlineStr">
        <is>
          <t>220V-240V / 50 HZ</t>
        </is>
      </c>
      <c r="Q11" s="14" t="n">
        <v>2</v>
      </c>
      <c r="R11" s="10" t="n"/>
    </row>
    <row r="12">
      <c r="A12" s="10" t="n">
        <v>5</v>
      </c>
      <c r="B12" s="10" t="inlineStr">
        <is>
          <t>D-010</t>
        </is>
      </c>
      <c r="C12" s="11" t="inlineStr">
        <is>
          <t>Finish Good Warehouse -GF</t>
        </is>
      </c>
      <c r="D12" s="11" t="inlineStr">
        <is>
          <t>WAREHOUSE COUNTER OFF.</t>
        </is>
      </c>
      <c r="E12" s="12" t="n">
        <v>48</v>
      </c>
      <c r="F12" s="10" t="inlineStr">
        <is>
          <t>24±2</t>
        </is>
      </c>
      <c r="G12" s="13" t="n">
        <v>6.8</v>
      </c>
      <c r="H12" s="13" t="n">
        <v>2</v>
      </c>
      <c r="I12" s="13">
        <f>G12+H12</f>
        <v/>
      </c>
      <c r="J12" s="13" t="n">
        <v>2239.2</v>
      </c>
      <c r="K12" s="10" t="inlineStr">
        <is>
          <t>IU/OU D-005</t>
        </is>
      </c>
      <c r="L12" s="10" t="inlineStr">
        <is>
          <t>CEILING CASSETTE</t>
        </is>
      </c>
      <c r="M12" s="10" t="inlineStr">
        <is>
          <t>FCF100CVM/RZF100CYM</t>
        </is>
      </c>
      <c r="N12" s="14" t="n">
        <v>10</v>
      </c>
      <c r="O12" s="10" t="n">
        <v>1</v>
      </c>
      <c r="P12" s="10" t="inlineStr">
        <is>
          <t>3 PHASE , 380-415 V, 50 HZ</t>
        </is>
      </c>
      <c r="Q12" s="14" t="n">
        <v>2.97</v>
      </c>
      <c r="R12" s="10" t="n"/>
    </row>
    <row r="13">
      <c r="A13" s="10" t="n">
        <v>6</v>
      </c>
      <c r="B13" s="10" t="inlineStr">
        <is>
          <t>D-011</t>
        </is>
      </c>
      <c r="C13" s="11" t="inlineStr">
        <is>
          <t>Finish Good Warehouse -GF</t>
        </is>
      </c>
      <c r="D13" s="11" t="inlineStr">
        <is>
          <t>SUPERVISOR</t>
        </is>
      </c>
      <c r="E13" s="12" t="n">
        <v>15</v>
      </c>
      <c r="F13" s="10" t="inlineStr">
        <is>
          <t>24±2</t>
        </is>
      </c>
      <c r="G13" s="13" t="n">
        <v>2.3</v>
      </c>
      <c r="H13" s="13" t="n">
        <v>0.6</v>
      </c>
      <c r="I13" s="13">
        <f>G13+H13</f>
        <v/>
      </c>
      <c r="J13" s="13" t="n">
        <v>777.6</v>
      </c>
      <c r="K13" s="10" t="inlineStr">
        <is>
          <t>IU/OU D-006</t>
        </is>
      </c>
      <c r="L13" s="10" t="inlineStr">
        <is>
          <t>WALL MOUNTED</t>
        </is>
      </c>
      <c r="M13" s="10" t="inlineStr">
        <is>
          <t>FTKE35AV1F/RKE35AV1</t>
        </is>
      </c>
      <c r="N13" s="14" t="n">
        <v>3.6</v>
      </c>
      <c r="O13" s="10" t="n">
        <v>1</v>
      </c>
      <c r="P13" s="10" t="inlineStr">
        <is>
          <t>220V-240V / 50 HZ</t>
        </is>
      </c>
      <c r="Q13" s="14" t="n">
        <v>1</v>
      </c>
      <c r="R13" s="10" t="n"/>
    </row>
    <row r="14">
      <c r="A14" s="10" t="n">
        <v>7</v>
      </c>
      <c r="B14" s="10" t="inlineStr">
        <is>
          <t>D-017</t>
        </is>
      </c>
      <c r="C14" s="11" t="inlineStr">
        <is>
          <t>Finish Good Warehouse -GF</t>
        </is>
      </c>
      <c r="D14" s="11" t="inlineStr">
        <is>
          <t>ELECTRICAL ROOM</t>
        </is>
      </c>
      <c r="E14" s="12" t="n">
        <v>4</v>
      </c>
      <c r="F14" s="10" t="inlineStr">
        <is>
          <t>22±2</t>
        </is>
      </c>
      <c r="G14" s="13" t="n">
        <v>2</v>
      </c>
      <c r="H14" s="13" t="n">
        <v>0.2</v>
      </c>
      <c r="I14" s="13">
        <f>G14+H14</f>
        <v/>
      </c>
      <c r="J14" s="13" t="n">
        <v>986.4</v>
      </c>
      <c r="K14" s="10" t="inlineStr">
        <is>
          <t>IU/OU D-007</t>
        </is>
      </c>
      <c r="L14" s="10" t="inlineStr">
        <is>
          <t>WALL MOUNTED</t>
        </is>
      </c>
      <c r="M14" s="10" t="inlineStr">
        <is>
          <t>FTKE25AV1F/RKE25AV1</t>
        </is>
      </c>
      <c r="N14" s="14" t="n">
        <v>2.64</v>
      </c>
      <c r="O14" s="10" t="n">
        <v>1</v>
      </c>
      <c r="P14" s="10" t="inlineStr">
        <is>
          <t>220V-240V / 50 HZ</t>
        </is>
      </c>
      <c r="Q14" s="14" t="n">
        <v>0.89</v>
      </c>
      <c r="R14" s="10" t="n"/>
    </row>
    <row r="15">
      <c r="A15" s="10" t="n">
        <v>8</v>
      </c>
      <c r="B15" s="10" t="inlineStr">
        <is>
          <t>D-101</t>
        </is>
      </c>
      <c r="C15" s="11" t="inlineStr">
        <is>
          <t>Finish Good Warehouse -1F</t>
        </is>
      </c>
      <c r="D15" s="11" t="inlineStr">
        <is>
          <t>MEETING ROOM</t>
        </is>
      </c>
      <c r="E15" s="12" t="n">
        <v>57</v>
      </c>
      <c r="F15" s="10" t="inlineStr">
        <is>
          <t>24±2</t>
        </is>
      </c>
      <c r="G15" s="13" t="n">
        <v>6.9</v>
      </c>
      <c r="H15" s="13" t="n">
        <v>4.3</v>
      </c>
      <c r="I15" s="13">
        <f>G15+H15</f>
        <v/>
      </c>
      <c r="J15" s="13" t="n">
        <v>2088</v>
      </c>
      <c r="K15" s="10" t="inlineStr">
        <is>
          <t>IU/OU D-101</t>
        </is>
      </c>
      <c r="L15" s="10" t="inlineStr">
        <is>
          <t>CEILING CASSETTE</t>
        </is>
      </c>
      <c r="M15" s="10" t="inlineStr">
        <is>
          <t>FCF125CVM/RZF125CYM</t>
        </is>
      </c>
      <c r="N15" s="14" t="n">
        <v>12.5</v>
      </c>
      <c r="O15" s="10" t="n">
        <v>1</v>
      </c>
      <c r="P15" s="10" t="inlineStr">
        <is>
          <t>3 PHASE , 380-415 V, 50 HZ</t>
        </is>
      </c>
      <c r="Q15" s="14" t="n">
        <v>4.18</v>
      </c>
      <c r="R15" s="10" t="n"/>
    </row>
    <row r="16">
      <c r="A16" s="10" t="n">
        <v>9</v>
      </c>
      <c r="B16" s="10" t="inlineStr">
        <is>
          <t>D-102</t>
        </is>
      </c>
      <c r="C16" s="11" t="inlineStr">
        <is>
          <t>Finish Good Warehouse -1F</t>
        </is>
      </c>
      <c r="D16" s="11" t="inlineStr">
        <is>
          <t>PANTRY</t>
        </is>
      </c>
      <c r="E16" s="12" t="n">
        <v>33</v>
      </c>
      <c r="F16" s="10" t="inlineStr">
        <is>
          <t>24±2</t>
        </is>
      </c>
      <c r="G16" s="13" t="n">
        <v>4.3</v>
      </c>
      <c r="H16" s="13" t="n">
        <v>2.1</v>
      </c>
      <c r="I16" s="13">
        <f>G16+H16</f>
        <v/>
      </c>
      <c r="J16" s="13" t="n">
        <v>1317.6</v>
      </c>
      <c r="K16" s="10" t="inlineStr">
        <is>
          <t>IU/OU D-102</t>
        </is>
      </c>
      <c r="L16" s="10" t="inlineStr">
        <is>
          <t>WALL MOUNTED</t>
        </is>
      </c>
      <c r="M16" s="10" t="inlineStr">
        <is>
          <t>FTKE50AV1F/RKE50AV1</t>
        </is>
      </c>
      <c r="N16" s="14" t="n">
        <v>9</v>
      </c>
      <c r="O16" s="10" t="n">
        <v>1</v>
      </c>
      <c r="P16" s="10" t="inlineStr">
        <is>
          <t>220V-240V / 50 HZ</t>
        </is>
      </c>
      <c r="Q16" s="14" t="n">
        <v>2</v>
      </c>
      <c r="R16" s="10" t="n"/>
    </row>
    <row r="17">
      <c r="A17" s="10" t="n">
        <v>10</v>
      </c>
      <c r="B17" s="10" t="inlineStr">
        <is>
          <t>D-107</t>
        </is>
      </c>
      <c r="C17" s="11" t="inlineStr">
        <is>
          <t>Finish Good Warehouse -1F</t>
        </is>
      </c>
      <c r="D17" s="11" t="inlineStr">
        <is>
          <t>SUPERVISOR OFFICE 1</t>
        </is>
      </c>
      <c r="E17" s="12" t="n">
        <v>15</v>
      </c>
      <c r="F17" s="10" t="inlineStr">
        <is>
          <t>24±2</t>
        </is>
      </c>
      <c r="G17" s="13" t="n">
        <v>4</v>
      </c>
      <c r="H17" s="13" t="n">
        <v>0.6</v>
      </c>
      <c r="I17" s="13">
        <f>G17+H17</f>
        <v/>
      </c>
      <c r="J17" s="13" t="n">
        <v>1389.6</v>
      </c>
      <c r="K17" s="10" t="inlineStr">
        <is>
          <t>IU/OU D-105</t>
        </is>
      </c>
      <c r="L17" s="10" t="inlineStr">
        <is>
          <t>WALL MOUNTED</t>
        </is>
      </c>
      <c r="M17" s="10" t="inlineStr">
        <is>
          <t>FTKE50AV1F/RKE50AV1</t>
        </is>
      </c>
      <c r="N17" s="14" t="n">
        <v>4.5</v>
      </c>
      <c r="O17" s="10" t="n">
        <v>1</v>
      </c>
      <c r="P17" s="10" t="inlineStr">
        <is>
          <t>220V-240V / 50 HZ</t>
        </is>
      </c>
      <c r="Q17" s="14" t="n">
        <v>2</v>
      </c>
      <c r="R17" s="10" t="n"/>
    </row>
    <row r="18">
      <c r="A18" s="10" t="n">
        <v>11</v>
      </c>
      <c r="B18" s="10" t="inlineStr">
        <is>
          <t>D-108</t>
        </is>
      </c>
      <c r="C18" s="11" t="inlineStr">
        <is>
          <t>Finish Good Warehouse -1F</t>
        </is>
      </c>
      <c r="D18" s="11" t="inlineStr">
        <is>
          <t>SUPERVISOR OFFICE 2</t>
        </is>
      </c>
      <c r="E18" s="12" t="n">
        <v>14</v>
      </c>
      <c r="F18" s="10" t="inlineStr">
        <is>
          <t>24±2</t>
        </is>
      </c>
      <c r="G18" s="13" t="n">
        <v>3.6</v>
      </c>
      <c r="H18" s="13" t="n">
        <v>0.5</v>
      </c>
      <c r="I18" s="13">
        <f>G18+H18</f>
        <v/>
      </c>
      <c r="J18" s="13" t="n">
        <v>1270.8</v>
      </c>
      <c r="K18" s="10" t="inlineStr">
        <is>
          <t>IU/OU D-106</t>
        </is>
      </c>
      <c r="L18" s="10" t="inlineStr">
        <is>
          <t>WALL MOUNTED</t>
        </is>
      </c>
      <c r="M18" s="10" t="inlineStr">
        <is>
          <t>FTKE50AV1F/RKE50AV1</t>
        </is>
      </c>
      <c r="N18" s="14" t="n">
        <v>4.5</v>
      </c>
      <c r="O18" s="10" t="n">
        <v>1</v>
      </c>
      <c r="P18" s="10" t="inlineStr">
        <is>
          <t>220V-240V / 50 HZ</t>
        </is>
      </c>
      <c r="Q18" s="14" t="n">
        <v>2</v>
      </c>
      <c r="R18" s="10" t="n"/>
    </row>
    <row r="19">
      <c r="A19" s="10" t="n">
        <v>12</v>
      </c>
      <c r="B19" s="10" t="inlineStr">
        <is>
          <t>D-106</t>
        </is>
      </c>
      <c r="C19" s="11" t="inlineStr">
        <is>
          <t>Finish Good Warehouse -1F</t>
        </is>
      </c>
      <c r="D19" s="11" t="inlineStr">
        <is>
          <t>OFFICE</t>
        </is>
      </c>
      <c r="E19" s="12" t="n">
        <v>36</v>
      </c>
      <c r="F19" s="10" t="inlineStr">
        <is>
          <t>24±2</t>
        </is>
      </c>
      <c r="G19" s="13" t="n">
        <v>4.5</v>
      </c>
      <c r="H19" s="13" t="n">
        <v>1.7</v>
      </c>
      <c r="I19" s="13">
        <f>G19+H19</f>
        <v/>
      </c>
      <c r="J19" s="13" t="n">
        <v>1400.4</v>
      </c>
      <c r="K19" s="10" t="inlineStr">
        <is>
          <t>IU/OU D-107</t>
        </is>
      </c>
      <c r="L19" s="10" t="inlineStr">
        <is>
          <t>WALL MOUNTED</t>
        </is>
      </c>
      <c r="M19" s="10" t="inlineStr">
        <is>
          <t>FTKE60AV1F/RKE60AV1</t>
        </is>
      </c>
      <c r="N19" s="14" t="n">
        <v>7.1</v>
      </c>
      <c r="O19" s="10" t="n">
        <v>1</v>
      </c>
      <c r="P19" s="10" t="inlineStr">
        <is>
          <t>220V-240V / 50 HZ</t>
        </is>
      </c>
      <c r="Q19" s="14" t="n">
        <v>2</v>
      </c>
      <c r="R19" s="10" t="n"/>
    </row>
    <row r="20">
      <c r="A20" s="10" t="n">
        <v>13</v>
      </c>
      <c r="B20" s="10" t="inlineStr">
        <is>
          <t>D-109</t>
        </is>
      </c>
      <c r="C20" s="11" t="inlineStr">
        <is>
          <t>Finish Good Warehouse -1F</t>
        </is>
      </c>
      <c r="D20" s="11" t="inlineStr">
        <is>
          <t>MANAGER OFFICE 1</t>
        </is>
      </c>
      <c r="E20" s="12" t="n">
        <v>15</v>
      </c>
      <c r="F20" s="10" t="inlineStr">
        <is>
          <t>24±2</t>
        </is>
      </c>
      <c r="G20" s="13" t="n">
        <v>3.6</v>
      </c>
      <c r="H20" s="13" t="n">
        <v>0.6</v>
      </c>
      <c r="I20" s="13">
        <f>G20+H20</f>
        <v/>
      </c>
      <c r="J20" s="13" t="n">
        <v>1288.8</v>
      </c>
      <c r="K20" s="10" t="inlineStr">
        <is>
          <t>IU/OU D-108</t>
        </is>
      </c>
      <c r="L20" s="10" t="inlineStr">
        <is>
          <t>WALL MOUNTED</t>
        </is>
      </c>
      <c r="M20" s="10" t="inlineStr">
        <is>
          <t>FTKE50AV1F/RKE50AV1</t>
        </is>
      </c>
      <c r="N20" s="14" t="n">
        <v>4.5</v>
      </c>
      <c r="O20" s="10" t="n">
        <v>1</v>
      </c>
      <c r="P20" s="10" t="inlineStr">
        <is>
          <t>220V-240V / 50 HZ</t>
        </is>
      </c>
      <c r="Q20" s="14" t="n">
        <v>2</v>
      </c>
      <c r="R20" s="10" t="n"/>
    </row>
    <row r="21">
      <c r="A21" s="10" t="n">
        <v>14</v>
      </c>
      <c r="B21" s="10" t="inlineStr">
        <is>
          <t>D-110</t>
        </is>
      </c>
      <c r="C21" s="11" t="inlineStr">
        <is>
          <t>Finish Good Warehouse -1F</t>
        </is>
      </c>
      <c r="D21" s="11" t="inlineStr">
        <is>
          <t>MANAGER OFFICE 2</t>
        </is>
      </c>
      <c r="E21" s="12" t="n">
        <v>17</v>
      </c>
      <c r="F21" s="10" t="inlineStr">
        <is>
          <t>24±2</t>
        </is>
      </c>
      <c r="G21" s="13" t="n">
        <v>1.6</v>
      </c>
      <c r="H21" s="13" t="n">
        <v>0.6</v>
      </c>
      <c r="I21" s="13">
        <f>G21+H21</f>
        <v/>
      </c>
      <c r="J21" s="13" t="n">
        <v>511.2</v>
      </c>
      <c r="K21" s="10" t="inlineStr">
        <is>
          <t>IU/OU D-109</t>
        </is>
      </c>
      <c r="L21" s="10" t="inlineStr">
        <is>
          <t>WALL MOUNTED</t>
        </is>
      </c>
      <c r="M21" s="10" t="inlineStr">
        <is>
          <t>FTKE25AV1F/RKE25AV1</t>
        </is>
      </c>
      <c r="N21" s="14" t="n">
        <v>2.64</v>
      </c>
      <c r="O21" s="10" t="n">
        <v>1</v>
      </c>
      <c r="P21" s="10" t="inlineStr">
        <is>
          <t>220V-240V / 50 HZ</t>
        </is>
      </c>
      <c r="Q21" s="14" t="n">
        <v>0.89</v>
      </c>
      <c r="R21" s="10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</row>
  </sheetData>
  <mergeCells count="8">
    <mergeCell ref="F6:J6"/>
    <mergeCell ref="K6:Q6"/>
    <mergeCell ref="R6:R7"/>
    <mergeCell ref="E6:E7"/>
    <mergeCell ref="C6:C7"/>
    <mergeCell ref="A6:A7"/>
    <mergeCell ref="D6:D7"/>
    <mergeCell ref="B6:B7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4" customWidth="1" min="3" max="3"/>
    <col width="40" customWidth="1" min="4" max="4"/>
    <col width="12" customWidth="1" min="5" max="5"/>
    <col width="12" customWidth="1" min="6" max="6"/>
    <col width="12" customWidth="1" min="7" max="7"/>
    <col width="8" customWidth="1" min="8" max="8"/>
    <col width="8" customWidth="1" min="9" max="9"/>
    <col width="9" customWidth="1" min="10" max="10"/>
    <col width="12" customWidth="1" min="11" max="11"/>
    <col width="17" customWidth="1" min="12" max="12"/>
    <col width="6" customWidth="1" min="13" max="13"/>
    <col width="20" customWidth="1" min="14" max="14"/>
  </cols>
  <sheetData>
    <row r="1">
      <c r="A1" s="1" t="inlineStr">
        <is>
          <t>FAN  EQUIPMENT SCHEDULE</t>
        </is>
      </c>
    </row>
    <row r="2">
      <c r="A2" s="1" t="inlineStr">
        <is>
          <t>FINISH GOOD WAREHOUSE</t>
        </is>
      </c>
    </row>
    <row r="3">
      <c r="A3" s="4" t="inlineStr">
        <is>
          <t>TAG NO</t>
        </is>
      </c>
      <c r="B3" s="4" t="inlineStr">
        <is>
          <t>ROOM NO</t>
        </is>
      </c>
      <c r="C3" s="4" t="inlineStr">
        <is>
          <t>ROOM NAME</t>
        </is>
      </c>
      <c r="D3" s="4" t="inlineStr">
        <is>
          <t>TYPE/MODEL</t>
        </is>
      </c>
      <c r="E3" s="4" t="inlineStr">
        <is>
          <t>AIR FLOW TOTAL CMH</t>
        </is>
      </c>
      <c r="F3" s="4" t="inlineStr">
        <is>
          <t>EXTERNAL STATIC PRESSURE PASCAL</t>
        </is>
      </c>
      <c r="G3" s="4" t="inlineStr">
        <is>
          <t>NOMINAL DATA *)</t>
        </is>
      </c>
      <c r="H3" s="9" t="n"/>
      <c r="I3" s="9" t="n"/>
      <c r="J3" s="9" t="n"/>
      <c r="K3" s="4" t="inlineStr">
        <is>
          <t>ELECTRICAL</t>
        </is>
      </c>
      <c r="L3" s="9" t="n"/>
      <c r="M3" s="4" t="inlineStr">
        <is>
          <t>QTY</t>
        </is>
      </c>
      <c r="N3" s="4" t="inlineStr">
        <is>
          <t>NOTE</t>
        </is>
      </c>
    </row>
    <row r="4" ht="48" customHeight="1">
      <c r="A4" s="9" t="n"/>
      <c r="B4" s="9" t="n"/>
      <c r="C4" s="9" t="n"/>
      <c r="D4" s="9" t="n"/>
      <c r="E4" s="9" t="n"/>
      <c r="F4" s="9" t="n"/>
      <c r="G4" s="4" t="inlineStr">
        <is>
          <t>BLADE DIAMETER MM</t>
        </is>
      </c>
      <c r="H4" s="4" t="inlineStr">
        <is>
          <t>Speed RPM</t>
        </is>
      </c>
      <c r="I4" s="4" t="inlineStr">
        <is>
          <t>WEIGHT KG</t>
        </is>
      </c>
      <c r="J4" s="4" t="inlineStr">
        <is>
          <t>Max. Noise Level dbA @ 3m</t>
        </is>
      </c>
      <c r="K4" s="4" t="inlineStr">
        <is>
          <t>Estimated Fan Motor Power KW</t>
        </is>
      </c>
      <c r="L4" s="4" t="inlineStr">
        <is>
          <t>(V / PH / HZ)</t>
        </is>
      </c>
      <c r="M4" s="9" t="n"/>
      <c r="N4" s="9" t="n"/>
    </row>
    <row r="6">
      <c r="A6" s="10" t="inlineStr">
        <is>
          <t>EF D-001.01~45</t>
        </is>
      </c>
      <c r="B6" s="10" t="n"/>
      <c r="C6" s="11" t="inlineStr">
        <is>
          <t>FINISH GOOD WAREHOUSE</t>
        </is>
      </c>
      <c r="D6" s="10" t="inlineStr">
        <is>
          <t>WALL MOUNTED - INDUSTRIAL TYPE</t>
        </is>
      </c>
      <c r="E6" s="16" t="n">
        <v>27970</v>
      </c>
      <c r="F6" s="10" t="n">
        <v>50</v>
      </c>
      <c r="G6" s="10" t="n">
        <v>775</v>
      </c>
      <c r="H6" s="10" t="n">
        <v>1425</v>
      </c>
      <c r="I6" s="10" t="n">
        <v>72</v>
      </c>
      <c r="J6" s="10" t="n">
        <v>84</v>
      </c>
      <c r="K6" s="14" t="n">
        <v>3.7</v>
      </c>
      <c r="L6" s="10" t="inlineStr">
        <is>
          <t>380-415 V/ 50 HZ</t>
        </is>
      </c>
      <c r="M6" s="10" t="n">
        <v>45</v>
      </c>
      <c r="N6" s="10" t="n"/>
    </row>
    <row r="7">
      <c r="A7" s="10" t="inlineStr">
        <is>
          <t>EF D-002</t>
        </is>
      </c>
      <c r="B7" s="10" t="n"/>
      <c r="C7" s="11" t="inlineStr">
        <is>
          <t>SUGAR STORAGE</t>
        </is>
      </c>
      <c r="D7" s="10" t="inlineStr">
        <is>
          <t>WALL MOUNTED - INDUSTRIAL TYPE</t>
        </is>
      </c>
      <c r="E7" s="16" t="n">
        <v>18220</v>
      </c>
      <c r="F7" s="10" t="n">
        <v>50</v>
      </c>
      <c r="G7" s="10" t="n">
        <v>775</v>
      </c>
      <c r="H7" s="10" t="n">
        <v>1425</v>
      </c>
      <c r="I7" s="10" t="n">
        <v>52</v>
      </c>
      <c r="J7" s="10" t="n">
        <v>81</v>
      </c>
      <c r="K7" s="14" t="n">
        <v>1.1</v>
      </c>
      <c r="L7" s="10" t="inlineStr">
        <is>
          <t>380-415 V/ 50 HZ</t>
        </is>
      </c>
      <c r="M7" s="10" t="n">
        <v>1</v>
      </c>
      <c r="N7" s="10" t="n"/>
    </row>
    <row r="8">
      <c r="A8" s="10" t="inlineStr">
        <is>
          <t>EF D-003</t>
        </is>
      </c>
      <c r="B8" s="10" t="n"/>
      <c r="C8" s="11" t="inlineStr">
        <is>
          <t>DRIVER TOILET</t>
        </is>
      </c>
      <c r="D8" s="10" t="inlineStr">
        <is>
          <t>INLINE CENTRIFUGAL CABINET FAN</t>
        </is>
      </c>
      <c r="E8" s="16" t="n">
        <v>410</v>
      </c>
      <c r="F8" s="10" t="n">
        <v>100</v>
      </c>
      <c r="G8" s="10" t="n">
        <v>302</v>
      </c>
      <c r="H8" s="10" t="n">
        <v>1334</v>
      </c>
      <c r="I8" s="10" t="n">
        <v>14</v>
      </c>
      <c r="J8" s="10" t="n">
        <v>50</v>
      </c>
      <c r="K8" s="14" t="n">
        <v>0.07000000000000001</v>
      </c>
      <c r="L8" s="10" t="inlineStr">
        <is>
          <t>220V-240V / 50 HZ</t>
        </is>
      </c>
      <c r="M8" s="10" t="n">
        <v>1</v>
      </c>
      <c r="N8" s="10" t="n"/>
    </row>
    <row r="9" ht="40" customHeight="1">
      <c r="A9" s="10" t="inlineStr">
        <is>
          <t>EF D-004</t>
        </is>
      </c>
      <c r="B9" s="10" t="n"/>
      <c r="C9" s="11" t="inlineStr">
        <is>
          <t>MALE TOILET
FEMALE TOILET
JANITOR</t>
        </is>
      </c>
      <c r="D9" s="10" t="inlineStr">
        <is>
          <t>INLINE CENTRIFUGAL CABINET FAN</t>
        </is>
      </c>
      <c r="E9" s="16" t="n">
        <v>650</v>
      </c>
      <c r="F9" s="10" t="n">
        <v>100</v>
      </c>
      <c r="G9" s="10" t="n">
        <v>302</v>
      </c>
      <c r="H9" s="10" t="n">
        <v>1486</v>
      </c>
      <c r="I9" s="10" t="n">
        <v>14</v>
      </c>
      <c r="J9" s="10" t="n">
        <v>53</v>
      </c>
      <c r="K9" s="14" t="n">
        <v>0.07000000000000001</v>
      </c>
      <c r="L9" s="10" t="inlineStr">
        <is>
          <t>220V-240V / 50 HZ</t>
        </is>
      </c>
      <c r="M9" s="10" t="n">
        <v>1</v>
      </c>
      <c r="N9" s="10" t="n"/>
    </row>
    <row r="10">
      <c r="A10" s="10" t="inlineStr">
        <is>
          <t>EF D-101</t>
        </is>
      </c>
      <c r="B10" s="10" t="n"/>
      <c r="C10" s="11" t="inlineStr">
        <is>
          <t>LOCKER</t>
        </is>
      </c>
      <c r="D10" s="10" t="inlineStr">
        <is>
          <t>CEILING MOUNTED SIROCCO VENTILATING FANS</t>
        </is>
      </c>
      <c r="E10" s="16" t="n">
        <v>520</v>
      </c>
      <c r="F10" s="10" t="n">
        <v>80</v>
      </c>
      <c r="G10" s="10" t="n"/>
      <c r="H10" s="10" t="n">
        <v>1169</v>
      </c>
      <c r="I10" s="10" t="n">
        <v>11</v>
      </c>
      <c r="J10" s="10" t="n">
        <v>44</v>
      </c>
      <c r="K10" s="14" t="n">
        <v>0.05</v>
      </c>
      <c r="L10" s="10" t="inlineStr">
        <is>
          <t>220V-240V / 50 HZ</t>
        </is>
      </c>
      <c r="M10" s="10" t="n">
        <v>1</v>
      </c>
      <c r="N10" s="10" t="n"/>
    </row>
    <row r="11">
      <c r="A11" s="10" t="inlineStr">
        <is>
          <t>EF D-102</t>
        </is>
      </c>
      <c r="B11" s="10" t="n"/>
      <c r="C11" s="11" t="inlineStr">
        <is>
          <t>ARCHIEVE ROOM</t>
        </is>
      </c>
      <c r="D11" s="10" t="inlineStr">
        <is>
          <t>CEILING MOUNTED SIROCCO VENTILATING FANS</t>
        </is>
      </c>
      <c r="E11" s="16" t="n">
        <v>630</v>
      </c>
      <c r="F11" s="10" t="n">
        <v>80</v>
      </c>
      <c r="G11" s="10" t="n"/>
      <c r="H11" s="10" t="n">
        <v>1047</v>
      </c>
      <c r="I11" s="10" t="n">
        <v>14</v>
      </c>
      <c r="J11" s="10" t="n">
        <v>50</v>
      </c>
      <c r="K11" s="14" t="n">
        <v>0.07000000000000001</v>
      </c>
      <c r="L11" s="10" t="inlineStr">
        <is>
          <t>220V-240V / 50 HZ</t>
        </is>
      </c>
      <c r="M11" s="10" t="n">
        <v>1</v>
      </c>
      <c r="N11" s="10" t="n"/>
    </row>
    <row r="12">
      <c r="A12" s="10" t="inlineStr">
        <is>
          <t>EF D-103</t>
        </is>
      </c>
      <c r="B12" s="10" t="n"/>
      <c r="C12" s="11" t="inlineStr">
        <is>
          <t>PANTRY</t>
        </is>
      </c>
      <c r="D12" s="10" t="inlineStr">
        <is>
          <t>CEILING MOUNTED SIROCCO VENTILATING FANS</t>
        </is>
      </c>
      <c r="E12" s="16" t="n">
        <v>590</v>
      </c>
      <c r="F12" s="10" t="n">
        <v>80</v>
      </c>
      <c r="G12" s="10" t="n"/>
      <c r="H12" s="10" t="n">
        <v>1353</v>
      </c>
      <c r="I12" s="10" t="n">
        <v>11</v>
      </c>
      <c r="J12" s="10" t="n">
        <v>49</v>
      </c>
      <c r="K12" s="14" t="n">
        <v>0.08</v>
      </c>
      <c r="L12" s="10" t="inlineStr">
        <is>
          <t>220V-240V / 50 HZ</t>
        </is>
      </c>
      <c r="M12" s="10" t="n">
        <v>1</v>
      </c>
      <c r="N12" s="10" t="n"/>
    </row>
    <row r="13">
      <c r="A13" s="10" t="inlineStr">
        <is>
          <t>CF D-101</t>
        </is>
      </c>
      <c r="B13" s="10" t="n"/>
      <c r="C13" s="11" t="inlineStr">
        <is>
          <t>LOCKER</t>
        </is>
      </c>
      <c r="D13" s="10" t="inlineStr">
        <is>
          <t>CEILING PROPELLER 5 SPEED CONTROL</t>
        </is>
      </c>
      <c r="E13" s="16" t="n">
        <v>12780</v>
      </c>
      <c r="F13" s="10" t="n"/>
      <c r="G13" s="10" t="inlineStr">
        <is>
          <t>DIA 1500 MM</t>
        </is>
      </c>
      <c r="H13" s="10" t="n"/>
      <c r="I13" s="10" t="n">
        <v>6.2</v>
      </c>
      <c r="J13" s="10" t="n"/>
      <c r="K13" s="14" t="n">
        <v>0.07000000000000001</v>
      </c>
      <c r="L13" s="10" t="inlineStr">
        <is>
          <t>1/220/50</t>
        </is>
      </c>
      <c r="M13" s="10" t="n">
        <v>1</v>
      </c>
      <c r="N13" s="10" t="n"/>
    </row>
    <row r="14">
      <c r="A14" s="10" t="inlineStr">
        <is>
          <t>CF D-102</t>
        </is>
      </c>
      <c r="B14" s="10" t="n"/>
      <c r="C14" s="11" t="inlineStr">
        <is>
          <t>ARCHIEVE ROOM</t>
        </is>
      </c>
      <c r="D14" s="10" t="inlineStr">
        <is>
          <t>CEILING PROPELLER 5 SPEED CONTROL</t>
        </is>
      </c>
      <c r="E14" s="16" t="n">
        <v>12780</v>
      </c>
      <c r="F14" s="10" t="n"/>
      <c r="G14" s="10" t="inlineStr">
        <is>
          <t>DIA 1500 MM</t>
        </is>
      </c>
      <c r="H14" s="10" t="n"/>
      <c r="I14" s="10" t="n">
        <v>6.2</v>
      </c>
      <c r="J14" s="10" t="n"/>
      <c r="K14" s="14" t="n">
        <v>0.07000000000000001</v>
      </c>
      <c r="L14" s="10" t="inlineStr">
        <is>
          <t>1/220/50</t>
        </is>
      </c>
      <c r="M14" s="10" t="n">
        <v>1</v>
      </c>
      <c r="N14" s="10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</row>
    <row r="17">
      <c r="A17" s="3" t="inlineStr">
        <is>
          <t>NOTES – FAN EQUIPMENT SCHEDULE (DETAIL DESIGN)</t>
        </is>
      </c>
    </row>
    <row r="18">
      <c r="A18" s="3" t="inlineStr">
        <is>
          <t>1. THE EQUIPMENT SCHEDULE INDICATED ON THE DRAWINGS SPECIFIES THE REQUIRED CAPACITY, FUNCTIONAL PERFORMANCE, AND TECHNICAL PARAMETERS FOR THE FINAL PROCUREMENT AND INSTALLATION.</t>
        </is>
      </c>
    </row>
    <row r="19">
      <c r="A19" s="3" t="inlineStr">
        <is>
          <t>2. THE CONTRACTOR SHALL VERIFY ALL SITE CONDITIONS, PHYSICAL SPACE LIMITATIONS, ACTUAL SYSTEM LAYOUTS, AND TOTAL PRESSURE DROPS PRIOR TO ORDERING ANY FAN EQUIPMENT.</t>
        </is>
      </c>
    </row>
    <row r="20">
      <c r="A20" s="3" t="inlineStr">
        <is>
          <t>3. FAN PERFORMANCE SHALL BE CERTIFIED BY AMCA (OR EQUIVALENT STANDARDS) TO OPERATE AT THE OPTIMUM EFFICIENCY POINT WHILE MEETING THE REQUIRED AIRFLOW, ACTUAL STATIC PRESSURE, AND PROJECT ACUSTIC/NOISE CRITERIA.</t>
        </is>
      </c>
    </row>
    <row r="21">
      <c r="A21" s="3" t="inlineStr">
        <is>
          <t>4. FAN MOTORS SHALL BE HIGH-EFFICIENCY, TEFC TYPE, SUITABLE FOR CONTINUOUS OPERATION AND MATCHING THE PROVISIONED PROJEC ELECTRICAL VOLTAGE, PHASE, AND CONTROLS.</t>
        </is>
      </c>
    </row>
    <row r="22">
      <c r="A22" s="3" t="inlineStr">
        <is>
          <t>5. VARIABLE SPEED DRIVES (VSDs) OR INVERTERS SHALL BE PROVIDED WHERE INDICATED FOR AIRFLOW BALANCING, AUTOMATED SYSTEM CONTROL, AND ENERGY-EFFICIENT OPERATION.</t>
        </is>
      </c>
    </row>
    <row r="23">
      <c r="A23" s="3" t="inlineStr">
        <is>
          <t>6. ALL FANS SHALL BE COMPLETE WITH APPROPRIATE VIBRATION ISOLATORS, FLEXIBLE DUCT CONNECTORS, BACKDRAFT DAMPERS, INTERNAL ACCESS DOORS, MOUNTING BRACKETS, AND INDEPENDENT STRUCTURAL SUPPORTS.</t>
        </is>
      </c>
    </row>
    <row r="24">
      <c r="A24" s="3" t="inlineStr">
        <is>
          <t>7. COORDINATE THE FINAL PHYSICAL INSTALLATION OF FANS WITH ARCHITECTURAL FINISHES, STRUCTURAL FRAMING, ELECTRICAL ROUTING, AND OTHER MEP SERVICES TO GUARANTEE ACCESSIBILITY FOR MAINTENANCE AND FILTER REPLACEMENT.</t>
        </is>
      </c>
    </row>
    <row r="25">
      <c r="A25" s="3" t="inlineStr">
        <is>
          <t>8. THE CONTRACTOR SHALL SUBMIT FINAL EQUIPMENT SELECTION DATA, CERTIFIED PERFORMANCE CURVES, SOUND SPECTRUM DATA, MOTOR DATA SHEETS, CONTROL DIAGRAMS, AND DETAILED SHOP DRAWINGS FOR CONSULTANT APPROVAL BEFORE FABRICATION.</t>
        </is>
      </c>
    </row>
    <row r="26">
      <c r="A26" s="3" t="inlineStr">
        <is>
          <t>9. ALL FANS SHALL BE RIGOROUSLY TESTED, COMMISSIONED, AND BALANCED. A COMPLETE TESTING, ADJUSTING, AND BALANCING (TAB) REPORT SHALL BE SUBMITTED TO ACHIEVE THE DESIGN DESIGNATED PARAMETERS.</t>
        </is>
      </c>
    </row>
    <row r="27">
      <c r="A27" s="3" t="inlineStr">
        <is>
          <t>10. UNLESS OTHERWISE NOTED, ALL AIRFLOW VALUES ARE EXPRESSED IN CMH (M³/H) AND EXTERNAL STATIC PRESSURE IN PA.</t>
        </is>
      </c>
    </row>
  </sheetData>
  <mergeCells count="10">
    <mergeCell ref="G3:J3"/>
    <mergeCell ref="C3:C4"/>
    <mergeCell ref="B3:B4"/>
    <mergeCell ref="A3:A4"/>
    <mergeCell ref="E3:E4"/>
    <mergeCell ref="M3:M4"/>
    <mergeCell ref="N3:N4"/>
    <mergeCell ref="F3:F4"/>
    <mergeCell ref="D3:D4"/>
    <mergeCell ref="K3:L3"/>
  </mergeCells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2026-10-22T09:47:38Z</dcterms:created>
  <dcterms:modified xmlns:dcterms="http://purl.org/dc/terms/" xmlns:xsi="http://www.w3.org/2001/XMLSchema-instance" xsi:type="dcterms:W3CDTF">2026-10-22T09:47:38Z</dcterms:modified>
</cp:coreProperties>
</file>