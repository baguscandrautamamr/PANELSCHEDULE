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500" firstSheet="0" activeTab="0" autoFilterDateGrouping="1"/>
  </bookViews>
  <sheets>
    <sheet xmlns:r="http://schemas.openxmlformats.org/officeDocument/2006/relationships" name="CP-FGW-L0-MVAC" sheetId="1" state="visible" r:id="rId1"/>
    <sheet xmlns:r="http://schemas.openxmlformats.org/officeDocument/2006/relationships" name="CP-FGW-L1-MVAC" sheetId="2" state="visible" r:id="rId2"/>
    <sheet xmlns:r="http://schemas.openxmlformats.org/officeDocument/2006/relationships" name="CABLE SIZING" sheetId="3" state="visible" r:id="rId3"/>
  </sheets>
  <definedNames>
    <definedName name="_xlnm.Print_Area" localSheetId="0">'CP-FGW-L0-MVAC'!$A$1:$K$81</definedName>
    <definedName name="_xlnm.Print_Area" localSheetId="1">'CP-FGW-L1-MVAC'!$A$1:$J$65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charset val="1"/>
      <family val="2"/>
      <color theme="1"/>
      <sz val="11"/>
    </font>
    <font>
      <name val="Calibri"/>
      <charset val="1"/>
      <b val="1"/>
      <sz val="13"/>
    </font>
    <font>
      <name val="Calibri"/>
      <charset val="1"/>
      <b val="1"/>
      <sz val="12"/>
    </font>
    <font>
      <name val="Calibri"/>
      <charset val="1"/>
      <b val="1"/>
      <sz val="11"/>
    </font>
    <font>
      <name val="Calibri"/>
      <charset val="1"/>
      <b val="1"/>
      <sz val="10"/>
    </font>
    <font>
      <name val="Calibri"/>
      <charset val="1"/>
      <sz val="10"/>
    </font>
    <font>
      <name val="Calibri"/>
      <charset val="1"/>
      <i val="1"/>
      <sz val="10"/>
    </font>
    <font>
      <name val="Calibri"/>
      <charset val="1"/>
      <sz val="9"/>
    </font>
    <font>
      <name val="Calibri"/>
      <charset val="1"/>
      <b val="1"/>
      <sz val="9"/>
    </font>
  </fonts>
  <fills count="7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DCE6F1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AFAFA"/>
        <bgColor rgb="FFF2F2F2"/>
      </patternFill>
    </fill>
    <fill>
      <patternFill patternType="solid">
        <fgColor rgb="FFF2F2F2"/>
        <bgColor rgb="FFFAFAFA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7" fillId="0" borderId="0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2" fontId="5" fillId="2" borderId="1" applyAlignment="1" pivotButton="0" quotePrefix="0" xfId="0">
      <alignment horizontal="center" vertical="center"/>
    </xf>
    <xf numFmtId="1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2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7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1" fontId="5" fillId="0" borderId="1" pivotButton="0" quotePrefix="0" xfId="0"/>
    <xf numFmtId="2" fontId="5" fillId="0" borderId="1" pivotButton="0" quotePrefix="0" xfId="0"/>
    <xf numFmtId="0" fontId="5" fillId="0" borderId="1" pivotButton="0" quotePrefix="0" xfId="0"/>
    <xf numFmtId="0" fontId="5" fillId="2" borderId="1" pivotButton="0" quotePrefix="0" xfId="0"/>
    <xf numFmtId="9" fontId="5" fillId="2" borderId="1" pivotButton="0" quotePrefix="0" xfId="0"/>
    <xf numFmtId="164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49" fontId="4" fillId="6" borderId="1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9" fontId="4" fillId="2" borderId="1" applyAlignment="1" pivotButton="0" quotePrefix="0" xfId="0">
      <alignment horizontal="center"/>
    </xf>
    <xf numFmtId="4" fontId="4" fillId="6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AFA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98"/>
  <sheetViews>
    <sheetView tabSelected="1" zoomScaleNormal="100" workbookViewId="0">
      <pane ySplit="9" topLeftCell="A19" activePane="bottomLeft" state="frozen"/>
      <selection pane="bottomLeft" activeCell="A4" sqref="A4:J4"/>
    </sheetView>
  </sheetViews>
  <sheetFormatPr baseColWidth="8" defaultColWidth="8.7109375" defaultRowHeight="15"/>
  <cols>
    <col width="5.5703125" customWidth="1" min="1" max="1"/>
    <col width="20" customWidth="1" min="2" max="2"/>
    <col width="58" customWidth="1" min="3" max="3"/>
    <col width="50" customWidth="1" min="4" max="4"/>
    <col width="15" customWidth="1" min="5" max="5"/>
    <col width="9" customWidth="1" min="6" max="6"/>
    <col width="12" customWidth="1" min="7" max="9"/>
    <col width="57.7109375" customWidth="1" min="10" max="10"/>
    <col width="11" customWidth="1" min="11" max="11"/>
  </cols>
  <sheetData>
    <row r="1" ht="18.75" customHeight="1">
      <c r="A1" s="42" t="inlineStr">
        <is>
          <t>FINISH GOOD WAREHOUSE - MVAC</t>
        </is>
      </c>
    </row>
    <row r="2" ht="18" customHeight="1">
      <c r="A2" s="43" t="inlineStr">
        <is>
          <t>CP-FGW-L0-MVAC (IP 42) - GABUNGAN L0 + L1, SUPPLY FROM MDB-FGW-L0 (TIDAK LAGI DARI DEG)</t>
        </is>
      </c>
    </row>
    <row r="3" ht="16.5" customHeight="1">
      <c r="A3" s="44" t="inlineStr">
        <is>
          <t>BOX PANEL - LOCATION AT FINISH GOOD WAREHOUSE</t>
        </is>
      </c>
    </row>
    <row r="4" ht="16.5" customHeight="1">
      <c r="A4" s="44" t="inlineStr">
        <is>
          <t>380/220V, 3PH, 4W, 50Hz - cos phi 0.8</t>
        </is>
      </c>
    </row>
    <row r="5" ht="15" customHeight="1">
      <c r="A5" s="41" t="inlineStr">
        <is>
          <t>cos phi</t>
        </is>
      </c>
      <c r="C5" s="4" t="n">
        <v>0.8</v>
      </c>
    </row>
    <row r="6" ht="15" customHeight="1">
      <c r="A6" s="41" t="inlineStr">
        <is>
          <t>V (L-L)</t>
        </is>
      </c>
      <c r="C6" s="5" t="n">
        <v>380</v>
      </c>
    </row>
    <row r="8" ht="18" customHeight="1">
      <c r="A8" s="40" t="inlineStr">
        <is>
          <t>NO.</t>
        </is>
      </c>
      <c r="B8" s="40" t="inlineStr">
        <is>
          <t>BREAKER</t>
        </is>
      </c>
      <c r="C8" s="40" t="inlineStr">
        <is>
          <t>CABLE</t>
        </is>
      </c>
      <c r="D8" s="40" t="inlineStr">
        <is>
          <t>FUNCTION</t>
        </is>
      </c>
      <c r="E8" s="40" t="inlineStr">
        <is>
          <t>EQUIPMENT</t>
        </is>
      </c>
      <c r="F8" s="45" t="n"/>
      <c r="G8" s="40" t="inlineStr">
        <is>
          <t>DEMAND LOAD  (WATT)</t>
        </is>
      </c>
      <c r="H8" s="46" t="n"/>
      <c r="I8" s="45" t="n"/>
      <c r="J8" s="40" t="inlineStr">
        <is>
          <t>REMARKS</t>
        </is>
      </c>
      <c r="K8" s="40" t="inlineStr">
        <is>
          <t>STARTER</t>
        </is>
      </c>
    </row>
    <row r="9" ht="31.5" customHeight="1">
      <c r="A9" s="47" t="n"/>
      <c r="B9" s="47" t="n"/>
      <c r="C9" s="47" t="n"/>
      <c r="D9" s="47" t="n"/>
      <c r="E9" s="40" t="inlineStr">
        <is>
          <t>LOAD EQUIPMENT
(WATT)</t>
        </is>
      </c>
      <c r="F9" s="40" t="inlineStr">
        <is>
          <t>PHASE</t>
        </is>
      </c>
      <c r="G9" s="40" t="inlineStr">
        <is>
          <t>R</t>
        </is>
      </c>
      <c r="H9" s="40" t="inlineStr">
        <is>
          <t>S</t>
        </is>
      </c>
      <c r="I9" s="40" t="inlineStr">
        <is>
          <t>T</t>
        </is>
      </c>
      <c r="J9" s="47" t="n"/>
      <c r="K9" s="47" t="n"/>
    </row>
    <row r="10" ht="15" customHeight="1">
      <c r="A10" s="6" t="n">
        <v>1</v>
      </c>
      <c r="B10" s="6" t="inlineStr">
        <is>
          <t>MCB-3P 16A 6kA</t>
        </is>
      </c>
      <c r="C10" s="6" t="inlineStr">
        <is>
          <t>1x3C-4mm2 Cu/XLPE/PVC +1C-4mm2 Cu/PVC G/Y</t>
        </is>
      </c>
      <c r="D10" s="7" t="inlineStr">
        <is>
          <t>EF D-001.01   WALL FAN FINISH GOOD WAREHOUSE (D-012)</t>
        </is>
      </c>
      <c r="E10" s="8" t="n">
        <v>3700</v>
      </c>
      <c r="F10" s="6" t="inlineStr">
        <is>
          <t>3 PH</t>
        </is>
      </c>
      <c r="G10" s="9">
        <f>$E10/3</f>
        <v/>
      </c>
      <c r="H10" s="10">
        <f>$E10/3</f>
        <v/>
      </c>
      <c r="I10" s="10">
        <f>$E10/3</f>
        <v/>
      </c>
      <c r="J10" s="11" t="inlineStr">
        <is>
          <t>WALL MOUNTED INDUSTRIAL FAN, NORMAL OPERATION, CONNECT TO FIRE ALARM</t>
        </is>
      </c>
      <c r="K10" s="11" t="inlineStr">
        <is>
          <t>DOL</t>
        </is>
      </c>
    </row>
    <row r="11" ht="15" customHeight="1">
      <c r="A11" s="6" t="n">
        <v>2</v>
      </c>
      <c r="B11" s="6" t="inlineStr">
        <is>
          <t>MCB-3P 16A 6kA</t>
        </is>
      </c>
      <c r="C11" s="6" t="inlineStr">
        <is>
          <t>1x3C-4mm2 Cu/XLPE/PVC +1C-4mm2 Cu/PVC G/Y</t>
        </is>
      </c>
      <c r="D11" s="7" t="inlineStr">
        <is>
          <t>EF D-001.02   WALL FAN FINISH GOOD WAREHOUSE (D-012)</t>
        </is>
      </c>
      <c r="E11" s="8" t="n">
        <v>3700</v>
      </c>
      <c r="F11" s="6" t="inlineStr">
        <is>
          <t>3 PH</t>
        </is>
      </c>
      <c r="G11" s="9">
        <f>$E11/3</f>
        <v/>
      </c>
      <c r="H11" s="10">
        <f>$E11/3</f>
        <v/>
      </c>
      <c r="I11" s="10">
        <f>$E11/3</f>
        <v/>
      </c>
      <c r="J11" s="11" t="inlineStr">
        <is>
          <t>WALL MOUNTED INDUSTRIAL FAN, NORMAL OPERATION, CONNECT TO FIRE ALARM</t>
        </is>
      </c>
      <c r="K11" s="11" t="inlineStr">
        <is>
          <t>DOL</t>
        </is>
      </c>
    </row>
    <row r="12" ht="15" customHeight="1">
      <c r="A12" s="6" t="n">
        <v>3</v>
      </c>
      <c r="B12" s="6" t="inlineStr">
        <is>
          <t>MCB-3P 16A 6kA</t>
        </is>
      </c>
      <c r="C12" s="6" t="inlineStr">
        <is>
          <t>1x3C-4mm2 Cu/XLPE/PVC +1C-4mm2 Cu/PVC G/Y</t>
        </is>
      </c>
      <c r="D12" s="7" t="inlineStr">
        <is>
          <t>EF D-001.03   WALL FAN FINISH GOOD WAREHOUSE (D-012)</t>
        </is>
      </c>
      <c r="E12" s="8" t="n">
        <v>3700</v>
      </c>
      <c r="F12" s="6" t="inlineStr">
        <is>
          <t>3 PH</t>
        </is>
      </c>
      <c r="G12" s="9">
        <f>$E12/3</f>
        <v/>
      </c>
      <c r="H12" s="10">
        <f>$E12/3</f>
        <v/>
      </c>
      <c r="I12" s="10">
        <f>$E12/3</f>
        <v/>
      </c>
      <c r="J12" s="11" t="inlineStr">
        <is>
          <t>WALL MOUNTED INDUSTRIAL FAN, NORMAL OPERATION, CONNECT TO FIRE ALARM</t>
        </is>
      </c>
      <c r="K12" s="11" t="inlineStr">
        <is>
          <t>DOL</t>
        </is>
      </c>
    </row>
    <row r="13" ht="15" customHeight="1">
      <c r="A13" s="6" t="n">
        <v>4</v>
      </c>
      <c r="B13" s="6" t="inlineStr">
        <is>
          <t>MCB-3P 16A 6kA</t>
        </is>
      </c>
      <c r="C13" s="6" t="inlineStr">
        <is>
          <t>1x3C-4mm2 Cu/XLPE/PVC +1C-4mm2 Cu/PVC G/Y</t>
        </is>
      </c>
      <c r="D13" s="7" t="inlineStr">
        <is>
          <t>EF D-001.04   WALL FAN FINISH GOOD WAREHOUSE (D-012)</t>
        </is>
      </c>
      <c r="E13" s="8" t="n">
        <v>3700</v>
      </c>
      <c r="F13" s="6" t="inlineStr">
        <is>
          <t>3 PH</t>
        </is>
      </c>
      <c r="G13" s="9">
        <f>$E13/3</f>
        <v/>
      </c>
      <c r="H13" s="10">
        <f>$E13/3</f>
        <v/>
      </c>
      <c r="I13" s="10">
        <f>$E13/3</f>
        <v/>
      </c>
      <c r="J13" s="11" t="inlineStr">
        <is>
          <t>WALL MOUNTED INDUSTRIAL FAN, NORMAL OPERATION, CONNECT TO FIRE ALARM</t>
        </is>
      </c>
      <c r="K13" s="11" t="inlineStr">
        <is>
          <t>DOL</t>
        </is>
      </c>
    </row>
    <row r="14" ht="15" customHeight="1">
      <c r="A14" s="6" t="n">
        <v>5</v>
      </c>
      <c r="B14" s="6" t="inlineStr">
        <is>
          <t>MCB-3P 16A 6kA</t>
        </is>
      </c>
      <c r="C14" s="6" t="inlineStr">
        <is>
          <t>1x3C-4mm2 Cu/XLPE/PVC +1C-4mm2 Cu/PVC G/Y</t>
        </is>
      </c>
      <c r="D14" s="7" t="inlineStr">
        <is>
          <t>EF D-001.05   WALL FAN FINISH GOOD WAREHOUSE (D-012)</t>
        </is>
      </c>
      <c r="E14" s="8" t="n">
        <v>3700</v>
      </c>
      <c r="F14" s="6" t="inlineStr">
        <is>
          <t>3 PH</t>
        </is>
      </c>
      <c r="G14" s="9">
        <f>$E14/3</f>
        <v/>
      </c>
      <c r="H14" s="10">
        <f>$E14/3</f>
        <v/>
      </c>
      <c r="I14" s="10">
        <f>$E14/3</f>
        <v/>
      </c>
      <c r="J14" s="11" t="inlineStr">
        <is>
          <t>WALL MOUNTED INDUSTRIAL FAN, NORMAL OPERATION, CONNECT TO FIRE ALARM</t>
        </is>
      </c>
      <c r="K14" s="11" t="inlineStr">
        <is>
          <t>DOL</t>
        </is>
      </c>
    </row>
    <row r="15" ht="15" customHeight="1">
      <c r="A15" s="6" t="n">
        <v>6</v>
      </c>
      <c r="B15" s="6" t="inlineStr">
        <is>
          <t>MCB-3P 16A 6kA</t>
        </is>
      </c>
      <c r="C15" s="6" t="inlineStr">
        <is>
          <t>1x3C-4mm2 Cu/XLPE/PVC +1C-4mm2 Cu/PVC G/Y</t>
        </is>
      </c>
      <c r="D15" s="7" t="inlineStr">
        <is>
          <t>EF D-001.06   WALL FAN FINISH GOOD WAREHOUSE (D-012)</t>
        </is>
      </c>
      <c r="E15" s="8" t="n">
        <v>3700</v>
      </c>
      <c r="F15" s="6" t="inlineStr">
        <is>
          <t>3 PH</t>
        </is>
      </c>
      <c r="G15" s="9">
        <f>$E15/3</f>
        <v/>
      </c>
      <c r="H15" s="10">
        <f>$E15/3</f>
        <v/>
      </c>
      <c r="I15" s="10">
        <f>$E15/3</f>
        <v/>
      </c>
      <c r="J15" s="11" t="inlineStr">
        <is>
          <t>WALL MOUNTED INDUSTRIAL FAN, NORMAL OPERATION, CONNECT TO FIRE ALARM</t>
        </is>
      </c>
      <c r="K15" s="11" t="inlineStr">
        <is>
          <t>DOL</t>
        </is>
      </c>
    </row>
    <row r="16" ht="15" customHeight="1">
      <c r="A16" s="6" t="n">
        <v>7</v>
      </c>
      <c r="B16" s="6" t="inlineStr">
        <is>
          <t>MCB-3P 16A 6kA</t>
        </is>
      </c>
      <c r="C16" s="6" t="inlineStr">
        <is>
          <t>1x3C-4mm2 Cu/XLPE/PVC +1C-4mm2 Cu/PVC G/Y</t>
        </is>
      </c>
      <c r="D16" s="7" t="inlineStr">
        <is>
          <t>EF D-001.07   WALL FAN FINISH GOOD WAREHOUSE (D-012)</t>
        </is>
      </c>
      <c r="E16" s="8" t="n">
        <v>3700</v>
      </c>
      <c r="F16" s="6" t="inlineStr">
        <is>
          <t>3 PH</t>
        </is>
      </c>
      <c r="G16" s="9">
        <f>$E16/3</f>
        <v/>
      </c>
      <c r="H16" s="10">
        <f>$E16/3</f>
        <v/>
      </c>
      <c r="I16" s="10">
        <f>$E16/3</f>
        <v/>
      </c>
      <c r="J16" s="11" t="inlineStr">
        <is>
          <t>WALL MOUNTED INDUSTRIAL FAN, NORMAL OPERATION, CONNECT TO FIRE ALARM</t>
        </is>
      </c>
      <c r="K16" s="11" t="inlineStr">
        <is>
          <t>DOL</t>
        </is>
      </c>
    </row>
    <row r="17" ht="15" customHeight="1">
      <c r="A17" s="6" t="n">
        <v>8</v>
      </c>
      <c r="B17" s="6" t="inlineStr">
        <is>
          <t>MCB-3P 16A 6kA</t>
        </is>
      </c>
      <c r="C17" s="6" t="inlineStr">
        <is>
          <t>1x3C-4mm2 Cu/XLPE/PVC +1C-4mm2 Cu/PVC G/Y</t>
        </is>
      </c>
      <c r="D17" s="7" t="inlineStr">
        <is>
          <t>EF D-001.08   WALL FAN FINISH GOOD WAREHOUSE (D-012)</t>
        </is>
      </c>
      <c r="E17" s="8" t="n">
        <v>3700</v>
      </c>
      <c r="F17" s="6" t="inlineStr">
        <is>
          <t>3 PH</t>
        </is>
      </c>
      <c r="G17" s="9">
        <f>$E17/3</f>
        <v/>
      </c>
      <c r="H17" s="10">
        <f>$E17/3</f>
        <v/>
      </c>
      <c r="I17" s="10">
        <f>$E17/3</f>
        <v/>
      </c>
      <c r="J17" s="11" t="inlineStr">
        <is>
          <t>WALL MOUNTED INDUSTRIAL FAN, NORMAL OPERATION, CONNECT TO FIRE ALARM</t>
        </is>
      </c>
      <c r="K17" s="11" t="inlineStr">
        <is>
          <t>DOL</t>
        </is>
      </c>
    </row>
    <row r="18" ht="15" customHeight="1">
      <c r="A18" s="6" t="n">
        <v>9</v>
      </c>
      <c r="B18" s="6" t="inlineStr">
        <is>
          <t>MCB-3P 16A 6kA</t>
        </is>
      </c>
      <c r="C18" s="6" t="inlineStr">
        <is>
          <t>1x3C-4mm2 (FRC) Cu/MGT/XLPE/LSZH +1C-4mm2 Cu/PVC G/Y</t>
        </is>
      </c>
      <c r="D18" s="7" t="inlineStr">
        <is>
          <t>EF D-001.09   WALL FAN FINISH GOOD WAREHOUSE (D-012)</t>
        </is>
      </c>
      <c r="E18" s="8" t="n">
        <v>3700</v>
      </c>
      <c r="F18" s="6" t="inlineStr">
        <is>
          <t>3 PH</t>
        </is>
      </c>
      <c r="G18" s="9">
        <f>$E18/3</f>
        <v/>
      </c>
      <c r="H18" s="10">
        <f>$E18/3</f>
        <v/>
      </c>
      <c r="I18" s="10">
        <f>$E18/3</f>
        <v/>
      </c>
      <c r="J18" s="11" t="inlineStr">
        <is>
          <t>WALL MOUNTED INDUSTRIAL FAN, ACTIVE ON EMERGENCY, F400/120, CLASS H MOTOR, CONNECT TO FIRE ALARM</t>
        </is>
      </c>
      <c r="K18" s="11" t="inlineStr">
        <is>
          <t>DOL</t>
        </is>
      </c>
    </row>
    <row r="19" ht="15" customHeight="1">
      <c r="A19" s="6" t="n">
        <v>10</v>
      </c>
      <c r="B19" s="6" t="inlineStr">
        <is>
          <t>MCB-3P 16A 6kA</t>
        </is>
      </c>
      <c r="C19" s="6" t="inlineStr">
        <is>
          <t>1x3C-4mm2 (FRC) Cu/MGT/XLPE/LSZH +1C-4mm2 Cu/PVC G/Y</t>
        </is>
      </c>
      <c r="D19" s="7" t="inlineStr">
        <is>
          <t>EF D-001.10   WALL FAN FINISH GOOD WAREHOUSE (D-012)</t>
        </is>
      </c>
      <c r="E19" s="8" t="n">
        <v>3700</v>
      </c>
      <c r="F19" s="6" t="inlineStr">
        <is>
          <t>3 PH</t>
        </is>
      </c>
      <c r="G19" s="9">
        <f>$E19/3</f>
        <v/>
      </c>
      <c r="H19" s="10">
        <f>$E19/3</f>
        <v/>
      </c>
      <c r="I19" s="10">
        <f>$E19/3</f>
        <v/>
      </c>
      <c r="J19" s="11" t="inlineStr">
        <is>
          <t>WALL MOUNTED INDUSTRIAL FAN, ACTIVE ON EMERGENCY, F400/120, CLASS H MOTOR, CONNECT TO FIRE ALARM</t>
        </is>
      </c>
      <c r="K19" s="11" t="inlineStr">
        <is>
          <t>DOL</t>
        </is>
      </c>
    </row>
    <row r="20" ht="15" customHeight="1">
      <c r="A20" s="6" t="n">
        <v>11</v>
      </c>
      <c r="B20" s="6" t="inlineStr">
        <is>
          <t>MCB-3P 16A 6kA</t>
        </is>
      </c>
      <c r="C20" s="6" t="inlineStr">
        <is>
          <t>1x3C-4mm2 (FRC) Cu/MGT/XLPE/LSZH +1C-4mm2 Cu/PVC G/Y</t>
        </is>
      </c>
      <c r="D20" s="7" t="inlineStr">
        <is>
          <t>EF D-001.11   WALL FAN FINISH GOOD WAREHOUSE (D-012)</t>
        </is>
      </c>
      <c r="E20" s="8" t="n">
        <v>3700</v>
      </c>
      <c r="F20" s="6" t="inlineStr">
        <is>
          <t>3 PH</t>
        </is>
      </c>
      <c r="G20" s="9">
        <f>$E20/3</f>
        <v/>
      </c>
      <c r="H20" s="10">
        <f>$E20/3</f>
        <v/>
      </c>
      <c r="I20" s="10">
        <f>$E20/3</f>
        <v/>
      </c>
      <c r="J20" s="11" t="inlineStr">
        <is>
          <t>WALL MOUNTED INDUSTRIAL FAN, ACTIVE ON EMERGENCY, F400/120, CLASS H MOTOR, CONNECT TO FIRE ALARM</t>
        </is>
      </c>
      <c r="K20" s="11" t="inlineStr">
        <is>
          <t>DOL</t>
        </is>
      </c>
    </row>
    <row r="21" ht="15" customHeight="1">
      <c r="A21" s="6" t="n">
        <v>12</v>
      </c>
      <c r="B21" s="6" t="inlineStr">
        <is>
          <t>MCB-3P 16A 6kA</t>
        </is>
      </c>
      <c r="C21" s="6" t="inlineStr">
        <is>
          <t>1x3C-4mm2 (FRC) Cu/MGT/XLPE/LSZH +1C-4mm2 Cu/PVC G/Y</t>
        </is>
      </c>
      <c r="D21" s="7" t="inlineStr">
        <is>
          <t>EF D-001.12   WALL FAN FINISH GOOD WAREHOUSE (D-012)</t>
        </is>
      </c>
      <c r="E21" s="8" t="n">
        <v>3700</v>
      </c>
      <c r="F21" s="6" t="inlineStr">
        <is>
          <t>3 PH</t>
        </is>
      </c>
      <c r="G21" s="9">
        <f>$E21/3</f>
        <v/>
      </c>
      <c r="H21" s="10">
        <f>$E21/3</f>
        <v/>
      </c>
      <c r="I21" s="10">
        <f>$E21/3</f>
        <v/>
      </c>
      <c r="J21" s="11" t="inlineStr">
        <is>
          <t>WALL MOUNTED INDUSTRIAL FAN, ACTIVE ON EMERGENCY, F400/120, CLASS H MOTOR, CONNECT TO FIRE ALARM</t>
        </is>
      </c>
      <c r="K21" s="11" t="inlineStr">
        <is>
          <t>DOL</t>
        </is>
      </c>
    </row>
    <row r="22" ht="15" customHeight="1">
      <c r="A22" s="6" t="n">
        <v>13</v>
      </c>
      <c r="B22" s="6" t="inlineStr">
        <is>
          <t>MCB-3P 16A 6kA</t>
        </is>
      </c>
      <c r="C22" s="6" t="inlineStr">
        <is>
          <t>1x3C-4mm2 (FRC) Cu/MGT/XLPE/LSZH +1C-4mm2 Cu/PVC G/Y</t>
        </is>
      </c>
      <c r="D22" s="7" t="inlineStr">
        <is>
          <t>EF D-001.13   WALL FAN FINISH GOOD WAREHOUSE (D-012)</t>
        </is>
      </c>
      <c r="E22" s="8" t="n">
        <v>3700</v>
      </c>
      <c r="F22" s="6" t="inlineStr">
        <is>
          <t>3 PH</t>
        </is>
      </c>
      <c r="G22" s="9">
        <f>$E22/3</f>
        <v/>
      </c>
      <c r="H22" s="10">
        <f>$E22/3</f>
        <v/>
      </c>
      <c r="I22" s="10">
        <f>$E22/3</f>
        <v/>
      </c>
      <c r="J22" s="11" t="inlineStr">
        <is>
          <t>WALL MOUNTED INDUSTRIAL FAN, ACTIVE ON EMERGENCY, F400/120, CLASS H MOTOR, CONNECT TO FIRE ALARM</t>
        </is>
      </c>
      <c r="K22" s="11" t="inlineStr">
        <is>
          <t>DOL</t>
        </is>
      </c>
    </row>
    <row r="23" ht="15" customHeight="1">
      <c r="A23" s="6" t="n">
        <v>14</v>
      </c>
      <c r="B23" s="6" t="inlineStr">
        <is>
          <t>MCB-3P 16A 6kA</t>
        </is>
      </c>
      <c r="C23" s="6" t="inlineStr">
        <is>
          <t>1x3C-4mm2 (FRC) Cu/MGT/XLPE/LSZH +1C-4mm2 Cu/PVC G/Y</t>
        </is>
      </c>
      <c r="D23" s="7" t="inlineStr">
        <is>
          <t>EF D-001.14   WALL FAN FINISH GOOD WAREHOUSE (D-012)</t>
        </is>
      </c>
      <c r="E23" s="8" t="n">
        <v>3700</v>
      </c>
      <c r="F23" s="6" t="inlineStr">
        <is>
          <t>3 PH</t>
        </is>
      </c>
      <c r="G23" s="9">
        <f>$E23/3</f>
        <v/>
      </c>
      <c r="H23" s="10">
        <f>$E23/3</f>
        <v/>
      </c>
      <c r="I23" s="10">
        <f>$E23/3</f>
        <v/>
      </c>
      <c r="J23" s="11" t="inlineStr">
        <is>
          <t>WALL MOUNTED INDUSTRIAL FAN, ACTIVE ON EMERGENCY, F400/120, CLASS H MOTOR, CONNECT TO FIRE ALARM</t>
        </is>
      </c>
      <c r="K23" s="11" t="inlineStr">
        <is>
          <t>DOL</t>
        </is>
      </c>
    </row>
    <row r="24" ht="15" customHeight="1">
      <c r="A24" s="6" t="n">
        <v>15</v>
      </c>
      <c r="B24" s="6" t="inlineStr">
        <is>
          <t>MCB-3P 16A 6kA</t>
        </is>
      </c>
      <c r="C24" s="6" t="inlineStr">
        <is>
          <t>1x3C-4mm2 (FRC) Cu/MGT/XLPE/LSZH +1C-4mm2 Cu/PVC G/Y</t>
        </is>
      </c>
      <c r="D24" s="7" t="inlineStr">
        <is>
          <t>EF D-001.15   WALL FAN FINISH GOOD WAREHOUSE (D-012)</t>
        </is>
      </c>
      <c r="E24" s="8" t="n">
        <v>3700</v>
      </c>
      <c r="F24" s="6" t="inlineStr">
        <is>
          <t>3 PH</t>
        </is>
      </c>
      <c r="G24" s="9">
        <f>$E24/3</f>
        <v/>
      </c>
      <c r="H24" s="10">
        <f>$E24/3</f>
        <v/>
      </c>
      <c r="I24" s="10">
        <f>$E24/3</f>
        <v/>
      </c>
      <c r="J24" s="11" t="inlineStr">
        <is>
          <t>WALL MOUNTED INDUSTRIAL FAN, ACTIVE ON EMERGENCY, F400/120, CLASS H MOTOR, CONNECT TO FIRE ALARM</t>
        </is>
      </c>
      <c r="K24" s="11" t="inlineStr">
        <is>
          <t>DOL</t>
        </is>
      </c>
    </row>
    <row r="25" ht="15" customHeight="1">
      <c r="A25" s="6" t="n">
        <v>16</v>
      </c>
      <c r="B25" s="6" t="inlineStr">
        <is>
          <t>MCB-3P 16A 6kA</t>
        </is>
      </c>
      <c r="C25" s="6" t="inlineStr">
        <is>
          <t>1x3C-4mm2 (FRC) Cu/MGT/XLPE/LSZH +1C-4mm2 Cu/PVC G/Y</t>
        </is>
      </c>
      <c r="D25" s="7" t="inlineStr">
        <is>
          <t>EF D-001.16   WALL FAN FINISH GOOD WAREHOUSE (D-012)</t>
        </is>
      </c>
      <c r="E25" s="8" t="n">
        <v>3700</v>
      </c>
      <c r="F25" s="6" t="inlineStr">
        <is>
          <t>3 PH</t>
        </is>
      </c>
      <c r="G25" s="9">
        <f>$E25/3</f>
        <v/>
      </c>
      <c r="H25" s="10">
        <f>$E25/3</f>
        <v/>
      </c>
      <c r="I25" s="10">
        <f>$E25/3</f>
        <v/>
      </c>
      <c r="J25" s="11" t="inlineStr">
        <is>
          <t>WALL MOUNTED INDUSTRIAL FAN, ACTIVE ON EMERGENCY, F400/120, CLASS H MOTOR, CONNECT TO FIRE ALARM</t>
        </is>
      </c>
      <c r="K25" s="11" t="inlineStr">
        <is>
          <t>DOL</t>
        </is>
      </c>
    </row>
    <row r="26" ht="15" customHeight="1">
      <c r="A26" s="6" t="n">
        <v>17</v>
      </c>
      <c r="B26" s="6" t="inlineStr">
        <is>
          <t>MCB-3P 16A 6kA</t>
        </is>
      </c>
      <c r="C26" s="6" t="inlineStr">
        <is>
          <t>1x3C-4mm2 (FRC) Cu/MGT/XLPE/LSZH +1C-4mm2 Cu/PVC G/Y</t>
        </is>
      </c>
      <c r="D26" s="7" t="inlineStr">
        <is>
          <t>EF D-001.17   WALL FAN FINISH GOOD WAREHOUSE (D-012)</t>
        </is>
      </c>
      <c r="E26" s="8" t="n">
        <v>3700</v>
      </c>
      <c r="F26" s="6" t="inlineStr">
        <is>
          <t>3 PH</t>
        </is>
      </c>
      <c r="G26" s="9">
        <f>$E26/3</f>
        <v/>
      </c>
      <c r="H26" s="10">
        <f>$E26/3</f>
        <v/>
      </c>
      <c r="I26" s="10">
        <f>$E26/3</f>
        <v/>
      </c>
      <c r="J26" s="11" t="inlineStr">
        <is>
          <t>WALL MOUNTED INDUSTRIAL FAN, ACTIVE ON EMERGENCY, F400/120, CLASS H MOTOR, CONNECT TO FIRE ALARM</t>
        </is>
      </c>
      <c r="K26" s="11" t="inlineStr">
        <is>
          <t>DOL</t>
        </is>
      </c>
    </row>
    <row r="27" ht="15" customHeight="1">
      <c r="A27" s="6" t="n">
        <v>18</v>
      </c>
      <c r="B27" s="6" t="inlineStr">
        <is>
          <t>MCB-3P 16A 6kA</t>
        </is>
      </c>
      <c r="C27" s="6" t="inlineStr">
        <is>
          <t>1x3C-4mm2 (FRC) Cu/MGT/XLPE/LSZH +1C-4mm2 Cu/PVC G/Y</t>
        </is>
      </c>
      <c r="D27" s="7" t="inlineStr">
        <is>
          <t>EF D-001.18   WALL FAN FINISH GOOD WAREHOUSE (D-012)</t>
        </is>
      </c>
      <c r="E27" s="8" t="n">
        <v>3700</v>
      </c>
      <c r="F27" s="6" t="inlineStr">
        <is>
          <t>3 PH</t>
        </is>
      </c>
      <c r="G27" s="9">
        <f>$E27/3</f>
        <v/>
      </c>
      <c r="H27" s="10">
        <f>$E27/3</f>
        <v/>
      </c>
      <c r="I27" s="10">
        <f>$E27/3</f>
        <v/>
      </c>
      <c r="J27" s="11" t="inlineStr">
        <is>
          <t>WALL MOUNTED INDUSTRIAL FAN, ACTIVE ON EMERGENCY, F400/120, CLASS H MOTOR, CONNECT TO FIRE ALARM</t>
        </is>
      </c>
      <c r="K27" s="11" t="inlineStr">
        <is>
          <t>DOL</t>
        </is>
      </c>
    </row>
    <row r="28" ht="15" customHeight="1">
      <c r="A28" s="6" t="n">
        <v>19</v>
      </c>
      <c r="B28" s="6" t="inlineStr">
        <is>
          <t>MCB-3P 16A 6kA</t>
        </is>
      </c>
      <c r="C28" s="6" t="inlineStr">
        <is>
          <t>1x3C-4mm2 (FRC) Cu/MGT/XLPE/LSZH +1C-4mm2 Cu/PVC G/Y</t>
        </is>
      </c>
      <c r="D28" s="7" t="inlineStr">
        <is>
          <t>EF D-001.19   WALL FAN FINISH GOOD WAREHOUSE (D-012)</t>
        </is>
      </c>
      <c r="E28" s="8" t="n">
        <v>3700</v>
      </c>
      <c r="F28" s="6" t="inlineStr">
        <is>
          <t>3 PH</t>
        </is>
      </c>
      <c r="G28" s="9">
        <f>$E28/3</f>
        <v/>
      </c>
      <c r="H28" s="10">
        <f>$E28/3</f>
        <v/>
      </c>
      <c r="I28" s="10">
        <f>$E28/3</f>
        <v/>
      </c>
      <c r="J28" s="11" t="inlineStr">
        <is>
          <t>WALL MOUNTED INDUSTRIAL FAN, ACTIVE ON EMERGENCY, F400/120, CLASS H MOTOR, CONNECT TO FIRE ALARM</t>
        </is>
      </c>
      <c r="K28" s="11" t="inlineStr">
        <is>
          <t>DOL</t>
        </is>
      </c>
    </row>
    <row r="29" ht="15" customHeight="1">
      <c r="A29" s="6" t="n">
        <v>20</v>
      </c>
      <c r="B29" s="6" t="inlineStr">
        <is>
          <t>MCB-3P 16A 6kA</t>
        </is>
      </c>
      <c r="C29" s="6" t="inlineStr">
        <is>
          <t>1x3C-4mm2 (FRC) Cu/MGT/XLPE/LSZH +1C-4mm2 Cu/PVC G/Y</t>
        </is>
      </c>
      <c r="D29" s="7" t="inlineStr">
        <is>
          <t>EF D-001.20   WALL FAN FINISH GOOD WAREHOUSE (D-012)</t>
        </is>
      </c>
      <c r="E29" s="8" t="n">
        <v>3700</v>
      </c>
      <c r="F29" s="6" t="inlineStr">
        <is>
          <t>3 PH</t>
        </is>
      </c>
      <c r="G29" s="9">
        <f>$E29/3</f>
        <v/>
      </c>
      <c r="H29" s="10">
        <f>$E29/3</f>
        <v/>
      </c>
      <c r="I29" s="10">
        <f>$E29/3</f>
        <v/>
      </c>
      <c r="J29" s="11" t="inlineStr">
        <is>
          <t>WALL MOUNTED INDUSTRIAL FAN, ACTIVE ON EMERGENCY, F400/120, CLASS H MOTOR, CONNECT TO FIRE ALARM</t>
        </is>
      </c>
      <c r="K29" s="11" t="inlineStr">
        <is>
          <t>DOL</t>
        </is>
      </c>
    </row>
    <row r="30" ht="15" customHeight="1">
      <c r="A30" s="6" t="n">
        <v>21</v>
      </c>
      <c r="B30" s="6" t="inlineStr">
        <is>
          <t>MCB-3P 16A 6kA</t>
        </is>
      </c>
      <c r="C30" s="6" t="inlineStr">
        <is>
          <t>1x3C-4mm2 (FRC) Cu/MGT/XLPE/LSZH +1C-4mm2 Cu/PVC G/Y</t>
        </is>
      </c>
      <c r="D30" s="7" t="inlineStr">
        <is>
          <t>EF D-001.21   WALL FAN FINISH GOOD WAREHOUSE (D-012)</t>
        </is>
      </c>
      <c r="E30" s="8" t="n">
        <v>3700</v>
      </c>
      <c r="F30" s="6" t="inlineStr">
        <is>
          <t>3 PH</t>
        </is>
      </c>
      <c r="G30" s="9">
        <f>$E30/3</f>
        <v/>
      </c>
      <c r="H30" s="10">
        <f>$E30/3</f>
        <v/>
      </c>
      <c r="I30" s="10">
        <f>$E30/3</f>
        <v/>
      </c>
      <c r="J30" s="11" t="inlineStr">
        <is>
          <t>WALL MOUNTED INDUSTRIAL FAN, ACTIVE ON EMERGENCY, F400/120, CLASS H MOTOR, CONNECT TO FIRE ALARM</t>
        </is>
      </c>
      <c r="K30" s="11" t="inlineStr">
        <is>
          <t>DOL</t>
        </is>
      </c>
    </row>
    <row r="31" ht="15" customHeight="1">
      <c r="A31" s="6" t="n">
        <v>22</v>
      </c>
      <c r="B31" s="6" t="inlineStr">
        <is>
          <t>MCB-3P 16A 6kA</t>
        </is>
      </c>
      <c r="C31" s="6" t="inlineStr">
        <is>
          <t>1x3C-4mm2 (FRC) Cu/MGT/XLPE/LSZH +1C-4mm2 Cu/PVC G/Y</t>
        </is>
      </c>
      <c r="D31" s="7" t="inlineStr">
        <is>
          <t>EF D-001.22   WALL FAN FINISH GOOD WAREHOUSE (D-012)</t>
        </is>
      </c>
      <c r="E31" s="8" t="n">
        <v>3700</v>
      </c>
      <c r="F31" s="6" t="inlineStr">
        <is>
          <t>3 PH</t>
        </is>
      </c>
      <c r="G31" s="9">
        <f>$E31/3</f>
        <v/>
      </c>
      <c r="H31" s="10">
        <f>$E31/3</f>
        <v/>
      </c>
      <c r="I31" s="10">
        <f>$E31/3</f>
        <v/>
      </c>
      <c r="J31" s="11" t="inlineStr">
        <is>
          <t>WALL MOUNTED INDUSTRIAL FAN, ACTIVE ON EMERGENCY, F400/120, CLASS H MOTOR, CONNECT TO FIRE ALARM</t>
        </is>
      </c>
      <c r="K31" s="11" t="inlineStr">
        <is>
          <t>DOL</t>
        </is>
      </c>
    </row>
    <row r="32" ht="15" customHeight="1">
      <c r="A32" s="6" t="n">
        <v>23</v>
      </c>
      <c r="B32" s="6" t="inlineStr">
        <is>
          <t>MCB-3P 16A 6kA</t>
        </is>
      </c>
      <c r="C32" s="6" t="inlineStr">
        <is>
          <t>1x3C-4mm2 (FRC) Cu/MGT/XLPE/LSZH +1C-4mm2 Cu/PVC G/Y</t>
        </is>
      </c>
      <c r="D32" s="7" t="inlineStr">
        <is>
          <t>EF D-001.23   WALL FAN FINISH GOOD WAREHOUSE (D-012)</t>
        </is>
      </c>
      <c r="E32" s="8" t="n">
        <v>3700</v>
      </c>
      <c r="F32" s="6" t="inlineStr">
        <is>
          <t>3 PH</t>
        </is>
      </c>
      <c r="G32" s="9">
        <f>$E32/3</f>
        <v/>
      </c>
      <c r="H32" s="10">
        <f>$E32/3</f>
        <v/>
      </c>
      <c r="I32" s="10">
        <f>$E32/3</f>
        <v/>
      </c>
      <c r="J32" s="11" t="inlineStr">
        <is>
          <t>WALL MOUNTED INDUSTRIAL FAN, ACTIVE ON EMERGENCY, F400/120, CLASS H MOTOR, CONNECT TO FIRE ALARM</t>
        </is>
      </c>
      <c r="K32" s="11" t="inlineStr">
        <is>
          <t>DOL</t>
        </is>
      </c>
    </row>
    <row r="33" ht="15" customHeight="1">
      <c r="A33" s="6" t="n">
        <v>24</v>
      </c>
      <c r="B33" s="6" t="inlineStr">
        <is>
          <t>MCB-3P 16A 6kA</t>
        </is>
      </c>
      <c r="C33" s="6" t="inlineStr">
        <is>
          <t>1x3C-4mm2 (FRC) Cu/MGT/XLPE/LSZH +1C-4mm2 Cu/PVC G/Y</t>
        </is>
      </c>
      <c r="D33" s="7" t="inlineStr">
        <is>
          <t>EF D-001.24   WALL FAN FINISH GOOD WAREHOUSE (D-012)</t>
        </is>
      </c>
      <c r="E33" s="8" t="n">
        <v>3700</v>
      </c>
      <c r="F33" s="6" t="inlineStr">
        <is>
          <t>3 PH</t>
        </is>
      </c>
      <c r="G33" s="9">
        <f>$E33/3</f>
        <v/>
      </c>
      <c r="H33" s="10">
        <f>$E33/3</f>
        <v/>
      </c>
      <c r="I33" s="10">
        <f>$E33/3</f>
        <v/>
      </c>
      <c r="J33" s="11" t="inlineStr">
        <is>
          <t>WALL MOUNTED INDUSTRIAL FAN, ACTIVE ON EMERGENCY, F400/120, CLASS H MOTOR, CONNECT TO FIRE ALARM</t>
        </is>
      </c>
      <c r="K33" s="11" t="inlineStr">
        <is>
          <t>DOL</t>
        </is>
      </c>
    </row>
    <row r="34" ht="15" customHeight="1">
      <c r="A34" s="6" t="n">
        <v>25</v>
      </c>
      <c r="B34" s="6" t="inlineStr">
        <is>
          <t>MCB-3P 16A 6kA</t>
        </is>
      </c>
      <c r="C34" s="6" t="inlineStr">
        <is>
          <t>1x3C-4mm2 (FRC) Cu/MGT/XLPE/LSZH +1C-4mm2 Cu/PVC G/Y</t>
        </is>
      </c>
      <c r="D34" s="7" t="inlineStr">
        <is>
          <t>EF D-001.25   WALL FAN FINISH GOOD WAREHOUSE (D-012)</t>
        </is>
      </c>
      <c r="E34" s="8" t="n">
        <v>3700</v>
      </c>
      <c r="F34" s="6" t="inlineStr">
        <is>
          <t>3 PH</t>
        </is>
      </c>
      <c r="G34" s="9">
        <f>$E34/3</f>
        <v/>
      </c>
      <c r="H34" s="10">
        <f>$E34/3</f>
        <v/>
      </c>
      <c r="I34" s="10">
        <f>$E34/3</f>
        <v/>
      </c>
      <c r="J34" s="11" t="inlineStr">
        <is>
          <t>WALL MOUNTED INDUSTRIAL FAN, ACTIVE ON EMERGENCY, F400/120, CLASS H MOTOR, CONNECT TO FIRE ALARM</t>
        </is>
      </c>
      <c r="K34" s="11" t="inlineStr">
        <is>
          <t>DOL</t>
        </is>
      </c>
    </row>
    <row r="35" ht="15" customHeight="1">
      <c r="A35" s="6" t="n">
        <v>26</v>
      </c>
      <c r="B35" s="6" t="inlineStr">
        <is>
          <t>MCB-3P 16A 6kA</t>
        </is>
      </c>
      <c r="C35" s="6" t="inlineStr">
        <is>
          <t>1x3C-4mm2 (FRC) Cu/MGT/XLPE/LSZH +1C-4mm2 Cu/PVC G/Y</t>
        </is>
      </c>
      <c r="D35" s="7" t="inlineStr">
        <is>
          <t>EF D-001.26   WALL FAN FINISH GOOD WAREHOUSE (D-012)</t>
        </is>
      </c>
      <c r="E35" s="8" t="n">
        <v>3700</v>
      </c>
      <c r="F35" s="6" t="inlineStr">
        <is>
          <t>3 PH</t>
        </is>
      </c>
      <c r="G35" s="9">
        <f>$E35/3</f>
        <v/>
      </c>
      <c r="H35" s="10">
        <f>$E35/3</f>
        <v/>
      </c>
      <c r="I35" s="10">
        <f>$E35/3</f>
        <v/>
      </c>
      <c r="J35" s="11" t="inlineStr">
        <is>
          <t>WALL MOUNTED INDUSTRIAL FAN, ACTIVE ON EMERGENCY, F400/120, CLASS H MOTOR, CONNECT TO FIRE ALARM</t>
        </is>
      </c>
      <c r="K35" s="11" t="inlineStr">
        <is>
          <t>DOL</t>
        </is>
      </c>
    </row>
    <row r="36" ht="15" customHeight="1">
      <c r="A36" s="6" t="n">
        <v>27</v>
      </c>
      <c r="B36" s="6" t="inlineStr">
        <is>
          <t>MCB-3P 16A 6kA</t>
        </is>
      </c>
      <c r="C36" s="6" t="inlineStr">
        <is>
          <t>1x3C-4mm2 (FRC) Cu/MGT/XLPE/LSZH +1C-4mm2 Cu/PVC G/Y</t>
        </is>
      </c>
      <c r="D36" s="7" t="inlineStr">
        <is>
          <t>EF D-001.27   WALL FAN FINISH GOOD WAREHOUSE (D-012)</t>
        </is>
      </c>
      <c r="E36" s="8" t="n">
        <v>3700</v>
      </c>
      <c r="F36" s="6" t="inlineStr">
        <is>
          <t>3 PH</t>
        </is>
      </c>
      <c r="G36" s="9">
        <f>$E36/3</f>
        <v/>
      </c>
      <c r="H36" s="10">
        <f>$E36/3</f>
        <v/>
      </c>
      <c r="I36" s="10">
        <f>$E36/3</f>
        <v/>
      </c>
      <c r="J36" s="11" t="inlineStr">
        <is>
          <t>WALL MOUNTED INDUSTRIAL FAN, ACTIVE ON EMERGENCY, F400/120, CLASS H MOTOR, CONNECT TO FIRE ALARM</t>
        </is>
      </c>
      <c r="K36" s="11" t="inlineStr">
        <is>
          <t>DOL</t>
        </is>
      </c>
    </row>
    <row r="37" ht="15" customHeight="1">
      <c r="A37" s="6" t="n">
        <v>28</v>
      </c>
      <c r="B37" s="6" t="inlineStr">
        <is>
          <t>MCB-3P 16A 6kA</t>
        </is>
      </c>
      <c r="C37" s="6" t="inlineStr">
        <is>
          <t>1x3C-4mm2 (FRC) Cu/MGT/XLPE/LSZH +1C-4mm2 Cu/PVC G/Y</t>
        </is>
      </c>
      <c r="D37" s="7" t="inlineStr">
        <is>
          <t>EF D-001.28   WALL FAN FINISH GOOD WAREHOUSE (D-012)</t>
        </is>
      </c>
      <c r="E37" s="8" t="n">
        <v>3700</v>
      </c>
      <c r="F37" s="6" t="inlineStr">
        <is>
          <t>3 PH</t>
        </is>
      </c>
      <c r="G37" s="9">
        <f>$E37/3</f>
        <v/>
      </c>
      <c r="H37" s="10">
        <f>$E37/3</f>
        <v/>
      </c>
      <c r="I37" s="10">
        <f>$E37/3</f>
        <v/>
      </c>
      <c r="J37" s="11" t="inlineStr">
        <is>
          <t>WALL MOUNTED INDUSTRIAL FAN, ACTIVE ON EMERGENCY, F400/120, CLASS H MOTOR, CONNECT TO FIRE ALARM</t>
        </is>
      </c>
      <c r="K37" s="11" t="inlineStr">
        <is>
          <t>DOL</t>
        </is>
      </c>
    </row>
    <row r="38" ht="15" customHeight="1">
      <c r="A38" s="6" t="n">
        <v>29</v>
      </c>
      <c r="B38" s="6" t="inlineStr">
        <is>
          <t>MCB-3P 16A 6kA</t>
        </is>
      </c>
      <c r="C38" s="6" t="inlineStr">
        <is>
          <t>1x3C-4mm2 Cu/XLPE/PVC +1C-4mm2 Cu/PVC G/Y</t>
        </is>
      </c>
      <c r="D38" s="7" t="inlineStr">
        <is>
          <t>EF D-001.29   WALL FAN FINISH GOOD WAREHOUSE (D-012)</t>
        </is>
      </c>
      <c r="E38" s="8" t="n">
        <v>3700</v>
      </c>
      <c r="F38" s="6" t="inlineStr">
        <is>
          <t>3 PH</t>
        </is>
      </c>
      <c r="G38" s="9">
        <f>$E38/3</f>
        <v/>
      </c>
      <c r="H38" s="10">
        <f>$E38/3</f>
        <v/>
      </c>
      <c r="I38" s="10">
        <f>$E38/3</f>
        <v/>
      </c>
      <c r="J38" s="11" t="inlineStr">
        <is>
          <t>WALL MOUNTED INDUSTRIAL FAN, NORMAL OPERATION, CONNECT TO FIRE ALARM</t>
        </is>
      </c>
      <c r="K38" s="11" t="inlineStr">
        <is>
          <t>DOL</t>
        </is>
      </c>
    </row>
    <row r="39" ht="15" customHeight="1">
      <c r="A39" s="6" t="n">
        <v>30</v>
      </c>
      <c r="B39" s="6" t="inlineStr">
        <is>
          <t>MCB-3P 16A 6kA</t>
        </is>
      </c>
      <c r="C39" s="6" t="inlineStr">
        <is>
          <t>1x3C-4mm2 Cu/XLPE/PVC +1C-4mm2 Cu/PVC G/Y</t>
        </is>
      </c>
      <c r="D39" s="7" t="inlineStr">
        <is>
          <t>EF D-001.30   WALL FAN FINISH GOOD WAREHOUSE (D-012)</t>
        </is>
      </c>
      <c r="E39" s="8" t="n">
        <v>3700</v>
      </c>
      <c r="F39" s="6" t="inlineStr">
        <is>
          <t>3 PH</t>
        </is>
      </c>
      <c r="G39" s="9">
        <f>$E39/3</f>
        <v/>
      </c>
      <c r="H39" s="10">
        <f>$E39/3</f>
        <v/>
      </c>
      <c r="I39" s="10">
        <f>$E39/3</f>
        <v/>
      </c>
      <c r="J39" s="11" t="inlineStr">
        <is>
          <t>WALL MOUNTED INDUSTRIAL FAN, NORMAL OPERATION, CONNECT TO FIRE ALARM</t>
        </is>
      </c>
      <c r="K39" s="11" t="inlineStr">
        <is>
          <t>DOL</t>
        </is>
      </c>
    </row>
    <row r="40" ht="15" customHeight="1">
      <c r="A40" s="6" t="n">
        <v>31</v>
      </c>
      <c r="B40" s="6" t="inlineStr">
        <is>
          <t>MCB-3P 16A 6kA</t>
        </is>
      </c>
      <c r="C40" s="6" t="inlineStr">
        <is>
          <t>1x3C-4mm2 Cu/XLPE/PVC +1C-4mm2 Cu/PVC G/Y</t>
        </is>
      </c>
      <c r="D40" s="7" t="inlineStr">
        <is>
          <t>EF D-001.31   WALL FAN FINISH GOOD WAREHOUSE (D-012)</t>
        </is>
      </c>
      <c r="E40" s="8" t="n">
        <v>3700</v>
      </c>
      <c r="F40" s="6" t="inlineStr">
        <is>
          <t>3 PH</t>
        </is>
      </c>
      <c r="G40" s="9">
        <f>$E40/3</f>
        <v/>
      </c>
      <c r="H40" s="10">
        <f>$E40/3</f>
        <v/>
      </c>
      <c r="I40" s="10">
        <f>$E40/3</f>
        <v/>
      </c>
      <c r="J40" s="11" t="inlineStr">
        <is>
          <t>WALL MOUNTED INDUSTRIAL FAN, NORMAL OPERATION, CONNECT TO FIRE ALARM</t>
        </is>
      </c>
      <c r="K40" s="11" t="inlineStr">
        <is>
          <t>DOL</t>
        </is>
      </c>
    </row>
    <row r="41" ht="15" customHeight="1">
      <c r="A41" s="6" t="n">
        <v>32</v>
      </c>
      <c r="B41" s="6" t="inlineStr">
        <is>
          <t>MCB-3P 16A 6kA</t>
        </is>
      </c>
      <c r="C41" s="6" t="inlineStr">
        <is>
          <t>1x3C-4mm2 Cu/XLPE/PVC +1C-4mm2 Cu/PVC G/Y</t>
        </is>
      </c>
      <c r="D41" s="7" t="inlineStr">
        <is>
          <t>EF D-001.32   WALL FAN FINISH GOOD WAREHOUSE (D-012)</t>
        </is>
      </c>
      <c r="E41" s="8" t="n">
        <v>3700</v>
      </c>
      <c r="F41" s="6" t="inlineStr">
        <is>
          <t>3 PH</t>
        </is>
      </c>
      <c r="G41" s="9">
        <f>$E41/3</f>
        <v/>
      </c>
      <c r="H41" s="10">
        <f>$E41/3</f>
        <v/>
      </c>
      <c r="I41" s="10">
        <f>$E41/3</f>
        <v/>
      </c>
      <c r="J41" s="11" t="inlineStr">
        <is>
          <t>WALL MOUNTED INDUSTRIAL FAN, NORMAL OPERATION, CONNECT TO FIRE ALARM</t>
        </is>
      </c>
      <c r="K41" s="11" t="inlineStr">
        <is>
          <t>DOL</t>
        </is>
      </c>
    </row>
    <row r="42" ht="15" customHeight="1">
      <c r="A42" s="6" t="n">
        <v>33</v>
      </c>
      <c r="B42" s="6" t="inlineStr">
        <is>
          <t>MCB-3P 16A 6kA</t>
        </is>
      </c>
      <c r="C42" s="6" t="inlineStr">
        <is>
          <t>1x3C-4mm2 Cu/XLPE/PVC +1C-4mm2 Cu/PVC G/Y</t>
        </is>
      </c>
      <c r="D42" s="7" t="inlineStr">
        <is>
          <t>EF D-001.33   WALL FAN FINISH GOOD WAREHOUSE (D-012)</t>
        </is>
      </c>
      <c r="E42" s="8" t="n">
        <v>3700</v>
      </c>
      <c r="F42" s="6" t="inlineStr">
        <is>
          <t>3 PH</t>
        </is>
      </c>
      <c r="G42" s="9">
        <f>$E42/3</f>
        <v/>
      </c>
      <c r="H42" s="10">
        <f>$E42/3</f>
        <v/>
      </c>
      <c r="I42" s="10">
        <f>$E42/3</f>
        <v/>
      </c>
      <c r="J42" s="11" t="inlineStr">
        <is>
          <t>WALL MOUNTED INDUSTRIAL FAN, NORMAL OPERATION, CONNECT TO FIRE ALARM</t>
        </is>
      </c>
      <c r="K42" s="11" t="inlineStr">
        <is>
          <t>DOL</t>
        </is>
      </c>
    </row>
    <row r="43" ht="15" customHeight="1">
      <c r="A43" s="6" t="n">
        <v>34</v>
      </c>
      <c r="B43" s="6" t="inlineStr">
        <is>
          <t>MCB-3P 16A 6kA</t>
        </is>
      </c>
      <c r="C43" s="6" t="inlineStr">
        <is>
          <t>1x3C-4mm2 Cu/XLPE/PVC +1C-4mm2 Cu/PVC G/Y</t>
        </is>
      </c>
      <c r="D43" s="7" t="inlineStr">
        <is>
          <t>EF D-001.34   WALL FAN FINISH GOOD WAREHOUSE (D-012)</t>
        </is>
      </c>
      <c r="E43" s="8" t="n">
        <v>3700</v>
      </c>
      <c r="F43" s="6" t="inlineStr">
        <is>
          <t>3 PH</t>
        </is>
      </c>
      <c r="G43" s="9">
        <f>$E43/3</f>
        <v/>
      </c>
      <c r="H43" s="10">
        <f>$E43/3</f>
        <v/>
      </c>
      <c r="I43" s="10">
        <f>$E43/3</f>
        <v/>
      </c>
      <c r="J43" s="11" t="inlineStr">
        <is>
          <t>WALL MOUNTED INDUSTRIAL FAN, NORMAL OPERATION, CONNECT TO FIRE ALARM</t>
        </is>
      </c>
      <c r="K43" s="11" t="inlineStr">
        <is>
          <t>DOL</t>
        </is>
      </c>
    </row>
    <row r="44" ht="15" customHeight="1">
      <c r="A44" s="6" t="n">
        <v>35</v>
      </c>
      <c r="B44" s="6" t="inlineStr">
        <is>
          <t>MCB-3P 16A 6kA</t>
        </is>
      </c>
      <c r="C44" s="6" t="inlineStr">
        <is>
          <t>1x3C-4mm2 Cu/XLPE/PVC +1C-4mm2 Cu/PVC G/Y</t>
        </is>
      </c>
      <c r="D44" s="7" t="inlineStr">
        <is>
          <t>EF D-001.35   WALL FAN FINISH GOOD WAREHOUSE (D-012)</t>
        </is>
      </c>
      <c r="E44" s="8" t="n">
        <v>3700</v>
      </c>
      <c r="F44" s="6" t="inlineStr">
        <is>
          <t>3 PH</t>
        </is>
      </c>
      <c r="G44" s="9">
        <f>$E44/3</f>
        <v/>
      </c>
      <c r="H44" s="10">
        <f>$E44/3</f>
        <v/>
      </c>
      <c r="I44" s="10">
        <f>$E44/3</f>
        <v/>
      </c>
      <c r="J44" s="11" t="inlineStr">
        <is>
          <t>WALL MOUNTED INDUSTRIAL FAN, NORMAL OPERATION, CONNECT TO FIRE ALARM</t>
        </is>
      </c>
      <c r="K44" s="11" t="inlineStr">
        <is>
          <t>DOL</t>
        </is>
      </c>
    </row>
    <row r="45" ht="15" customHeight="1">
      <c r="A45" s="6" t="n">
        <v>36</v>
      </c>
      <c r="B45" s="6" t="inlineStr">
        <is>
          <t>MCB-3P 16A 6kA</t>
        </is>
      </c>
      <c r="C45" s="6" t="inlineStr">
        <is>
          <t>1x3C-4mm2 Cu/XLPE/PVC +1C-4mm2 Cu/PVC G/Y</t>
        </is>
      </c>
      <c r="D45" s="7" t="inlineStr">
        <is>
          <t>EF D-001.36   WALL FAN FINISH GOOD WAREHOUSE (D-012)</t>
        </is>
      </c>
      <c r="E45" s="8" t="n">
        <v>3700</v>
      </c>
      <c r="F45" s="6" t="inlineStr">
        <is>
          <t>3 PH</t>
        </is>
      </c>
      <c r="G45" s="9">
        <f>$E45/3</f>
        <v/>
      </c>
      <c r="H45" s="10">
        <f>$E45/3</f>
        <v/>
      </c>
      <c r="I45" s="10">
        <f>$E45/3</f>
        <v/>
      </c>
      <c r="J45" s="11" t="inlineStr">
        <is>
          <t>WALL MOUNTED INDUSTRIAL FAN, NORMAL OPERATION, CONNECT TO FIRE ALARM</t>
        </is>
      </c>
      <c r="K45" s="11" t="inlineStr">
        <is>
          <t>DOL</t>
        </is>
      </c>
    </row>
    <row r="46" ht="15" customHeight="1">
      <c r="A46" s="6" t="n">
        <v>37</v>
      </c>
      <c r="B46" s="6" t="inlineStr">
        <is>
          <t>MCB-3P 16A 6kA</t>
        </is>
      </c>
      <c r="C46" s="6" t="inlineStr">
        <is>
          <t>1x3C-4mm2 Cu/XLPE/PVC +1C-4mm2 Cu/PVC G/Y</t>
        </is>
      </c>
      <c r="D46" s="7" t="inlineStr">
        <is>
          <t>EF D-001.37   WALL FAN FINISH GOOD WAREHOUSE (D-012)</t>
        </is>
      </c>
      <c r="E46" s="8" t="n">
        <v>3700</v>
      </c>
      <c r="F46" s="6" t="inlineStr">
        <is>
          <t>3 PH</t>
        </is>
      </c>
      <c r="G46" s="9">
        <f>$E46/3</f>
        <v/>
      </c>
      <c r="H46" s="10">
        <f>$E46/3</f>
        <v/>
      </c>
      <c r="I46" s="10">
        <f>$E46/3</f>
        <v/>
      </c>
      <c r="J46" s="11" t="inlineStr">
        <is>
          <t>WALL MOUNTED INDUSTRIAL FAN, NORMAL OPERATION, CONNECT TO FIRE ALARM</t>
        </is>
      </c>
      <c r="K46" s="11" t="inlineStr">
        <is>
          <t>DOL</t>
        </is>
      </c>
    </row>
    <row r="47" ht="15" customHeight="1">
      <c r="A47" s="6" t="n">
        <v>38</v>
      </c>
      <c r="B47" s="6" t="inlineStr">
        <is>
          <t>MCB-3P 16A 6kA</t>
        </is>
      </c>
      <c r="C47" s="6" t="inlineStr">
        <is>
          <t>1x3C-4mm2 Cu/XLPE/PVC +1C-4mm2 Cu/PVC G/Y</t>
        </is>
      </c>
      <c r="D47" s="7" t="inlineStr">
        <is>
          <t>EF D-001.38   WALL FAN FINISH GOOD WAREHOUSE (D-012)</t>
        </is>
      </c>
      <c r="E47" s="8" t="n">
        <v>3700</v>
      </c>
      <c r="F47" s="6" t="inlineStr">
        <is>
          <t>3 PH</t>
        </is>
      </c>
      <c r="G47" s="9">
        <f>$E47/3</f>
        <v/>
      </c>
      <c r="H47" s="10">
        <f>$E47/3</f>
        <v/>
      </c>
      <c r="I47" s="10">
        <f>$E47/3</f>
        <v/>
      </c>
      <c r="J47" s="11" t="inlineStr">
        <is>
          <t>WALL MOUNTED INDUSTRIAL FAN, NORMAL OPERATION, CONNECT TO FIRE ALARM</t>
        </is>
      </c>
      <c r="K47" s="11" t="inlineStr">
        <is>
          <t>DOL</t>
        </is>
      </c>
    </row>
    <row r="48" ht="15" customHeight="1">
      <c r="A48" s="6" t="n">
        <v>39</v>
      </c>
      <c r="B48" s="6" t="inlineStr">
        <is>
          <t>MCB-3P 16A 6kA</t>
        </is>
      </c>
      <c r="C48" s="6" t="inlineStr">
        <is>
          <t>1x3C-4mm2 Cu/XLPE/PVC +1C-4mm2 Cu/PVC G/Y</t>
        </is>
      </c>
      <c r="D48" s="7" t="inlineStr">
        <is>
          <t>EF D-001.39   WALL FAN FINISH GOOD WAREHOUSE (D-012)</t>
        </is>
      </c>
      <c r="E48" s="8" t="n">
        <v>3700</v>
      </c>
      <c r="F48" s="6" t="inlineStr">
        <is>
          <t>3 PH</t>
        </is>
      </c>
      <c r="G48" s="9">
        <f>$E48/3</f>
        <v/>
      </c>
      <c r="H48" s="10">
        <f>$E48/3</f>
        <v/>
      </c>
      <c r="I48" s="10">
        <f>$E48/3</f>
        <v/>
      </c>
      <c r="J48" s="11" t="inlineStr">
        <is>
          <t>WALL MOUNTED INDUSTRIAL FAN, NORMAL OPERATION, CONNECT TO FIRE ALARM</t>
        </is>
      </c>
      <c r="K48" s="11" t="inlineStr">
        <is>
          <t>DOL</t>
        </is>
      </c>
    </row>
    <row r="49" ht="15" customHeight="1">
      <c r="A49" s="6" t="n">
        <v>40</v>
      </c>
      <c r="B49" s="6" t="inlineStr">
        <is>
          <t>MCB-3P 16A 6kA</t>
        </is>
      </c>
      <c r="C49" s="6" t="inlineStr">
        <is>
          <t>1x3C-4mm2 Cu/XLPE/PVC +1C-4mm2 Cu/PVC G/Y</t>
        </is>
      </c>
      <c r="D49" s="7" t="inlineStr">
        <is>
          <t>EF D-001.40   WALL FAN FINISH GOOD WAREHOUSE (D-012)</t>
        </is>
      </c>
      <c r="E49" s="8" t="n">
        <v>3700</v>
      </c>
      <c r="F49" s="6" t="inlineStr">
        <is>
          <t>3 PH</t>
        </is>
      </c>
      <c r="G49" s="9">
        <f>$E49/3</f>
        <v/>
      </c>
      <c r="H49" s="10">
        <f>$E49/3</f>
        <v/>
      </c>
      <c r="I49" s="10">
        <f>$E49/3</f>
        <v/>
      </c>
      <c r="J49" s="11" t="inlineStr">
        <is>
          <t>WALL MOUNTED INDUSTRIAL FAN, NORMAL OPERATION, CONNECT TO FIRE ALARM</t>
        </is>
      </c>
      <c r="K49" s="11" t="inlineStr">
        <is>
          <t>DOL</t>
        </is>
      </c>
    </row>
    <row r="50" ht="15" customHeight="1">
      <c r="A50" s="6" t="n">
        <v>41</v>
      </c>
      <c r="B50" s="6" t="inlineStr">
        <is>
          <t>MCB-3P 16A 6kA</t>
        </is>
      </c>
      <c r="C50" s="6" t="inlineStr">
        <is>
          <t>1x3C-4mm2 Cu/XLPE/PVC +1C-4mm2 Cu/PVC G/Y</t>
        </is>
      </c>
      <c r="D50" s="7" t="inlineStr">
        <is>
          <t>EF D-001.41   WALL FAN FINISH GOOD WAREHOUSE (D-012)</t>
        </is>
      </c>
      <c r="E50" s="8" t="n">
        <v>3700</v>
      </c>
      <c r="F50" s="6" t="inlineStr">
        <is>
          <t>3 PH</t>
        </is>
      </c>
      <c r="G50" s="9">
        <f>$E50/3</f>
        <v/>
      </c>
      <c r="H50" s="10">
        <f>$E50/3</f>
        <v/>
      </c>
      <c r="I50" s="10">
        <f>$E50/3</f>
        <v/>
      </c>
      <c r="J50" s="11" t="inlineStr">
        <is>
          <t>WALL MOUNTED INDUSTRIAL FAN, NORMAL OPERATION, CONNECT TO FIRE ALARM</t>
        </is>
      </c>
      <c r="K50" s="11" t="inlineStr">
        <is>
          <t>DOL</t>
        </is>
      </c>
    </row>
    <row r="51" ht="15" customHeight="1">
      <c r="A51" s="6" t="n">
        <v>42</v>
      </c>
      <c r="B51" s="6" t="inlineStr">
        <is>
          <t>MCB-3P 16A 6kA</t>
        </is>
      </c>
      <c r="C51" s="6" t="inlineStr">
        <is>
          <t>1x3C-4mm2 Cu/XLPE/PVC +1C-4mm2 Cu/PVC G/Y</t>
        </is>
      </c>
      <c r="D51" s="7" t="inlineStr">
        <is>
          <t>EF D-001.42   WALL FAN FINISH GOOD WAREHOUSE (D-012)</t>
        </is>
      </c>
      <c r="E51" s="8" t="n">
        <v>3700</v>
      </c>
      <c r="F51" s="6" t="inlineStr">
        <is>
          <t>3 PH</t>
        </is>
      </c>
      <c r="G51" s="9">
        <f>$E51/3</f>
        <v/>
      </c>
      <c r="H51" s="10">
        <f>$E51/3</f>
        <v/>
      </c>
      <c r="I51" s="10">
        <f>$E51/3</f>
        <v/>
      </c>
      <c r="J51" s="11" t="inlineStr">
        <is>
          <t>WALL MOUNTED INDUSTRIAL FAN, NORMAL OPERATION, CONNECT TO FIRE ALARM</t>
        </is>
      </c>
      <c r="K51" s="11" t="inlineStr">
        <is>
          <t>DOL</t>
        </is>
      </c>
    </row>
    <row r="52" ht="15" customHeight="1">
      <c r="A52" s="6" t="n">
        <v>43</v>
      </c>
      <c r="B52" s="6" t="inlineStr">
        <is>
          <t>MCB-3P 16A 6kA</t>
        </is>
      </c>
      <c r="C52" s="6" t="inlineStr">
        <is>
          <t>1x3C-4mm2 Cu/XLPE/PVC +1C-4mm2 Cu/PVC G/Y</t>
        </is>
      </c>
      <c r="D52" s="7" t="inlineStr">
        <is>
          <t>EF D-001.43   WALL FAN FINISH GOOD WAREHOUSE (D-012)</t>
        </is>
      </c>
      <c r="E52" s="8" t="n">
        <v>3700</v>
      </c>
      <c r="F52" s="6" t="inlineStr">
        <is>
          <t>3 PH</t>
        </is>
      </c>
      <c r="G52" s="9">
        <f>$E52/3</f>
        <v/>
      </c>
      <c r="H52" s="10">
        <f>$E52/3</f>
        <v/>
      </c>
      <c r="I52" s="10">
        <f>$E52/3</f>
        <v/>
      </c>
      <c r="J52" s="11" t="inlineStr">
        <is>
          <t>WALL MOUNTED INDUSTRIAL FAN, NORMAL OPERATION, CONNECT TO FIRE ALARM</t>
        </is>
      </c>
      <c r="K52" s="11" t="inlineStr">
        <is>
          <t>DOL</t>
        </is>
      </c>
    </row>
    <row r="53" ht="15" customHeight="1">
      <c r="A53" s="6" t="n">
        <v>44</v>
      </c>
      <c r="B53" s="6" t="inlineStr">
        <is>
          <t>MCB-3P 16A 6kA</t>
        </is>
      </c>
      <c r="C53" s="6" t="inlineStr">
        <is>
          <t>1x3C-4mm2 Cu/XLPE/PVC +1C-4mm2 Cu/PVC G/Y</t>
        </is>
      </c>
      <c r="D53" s="7" t="inlineStr">
        <is>
          <t>EF D-001.44   WALL FAN FINISH GOOD WAREHOUSE (D-012)</t>
        </is>
      </c>
      <c r="E53" s="8" t="n">
        <v>3700</v>
      </c>
      <c r="F53" s="6" t="inlineStr">
        <is>
          <t>3 PH</t>
        </is>
      </c>
      <c r="G53" s="9">
        <f>$E53/3</f>
        <v/>
      </c>
      <c r="H53" s="10">
        <f>$E53/3</f>
        <v/>
      </c>
      <c r="I53" s="10">
        <f>$E53/3</f>
        <v/>
      </c>
      <c r="J53" s="11" t="inlineStr">
        <is>
          <t>WALL MOUNTED INDUSTRIAL FAN, NORMAL OPERATION, CONNECT TO FIRE ALARM</t>
        </is>
      </c>
      <c r="K53" s="11" t="inlineStr">
        <is>
          <t>DOL</t>
        </is>
      </c>
    </row>
    <row r="54" ht="15" customHeight="1">
      <c r="A54" s="6" t="n">
        <v>45</v>
      </c>
      <c r="B54" s="6" t="inlineStr">
        <is>
          <t>MCB-3P 16A 6kA</t>
        </is>
      </c>
      <c r="C54" s="6" t="inlineStr">
        <is>
          <t>1x3C-4mm2 Cu/XLPE/PVC +1C-4mm2 Cu/PVC G/Y</t>
        </is>
      </c>
      <c r="D54" s="7" t="inlineStr">
        <is>
          <t>EF D-001.45   WALL FAN FINISH GOOD WAREHOUSE (D-012)</t>
        </is>
      </c>
      <c r="E54" s="8" t="n">
        <v>3700</v>
      </c>
      <c r="F54" s="6" t="inlineStr">
        <is>
          <t>3 PH</t>
        </is>
      </c>
      <c r="G54" s="9">
        <f>$E54/3</f>
        <v/>
      </c>
      <c r="H54" s="10">
        <f>$E54/3</f>
        <v/>
      </c>
      <c r="I54" s="10">
        <f>$E54/3</f>
        <v/>
      </c>
      <c r="J54" s="11" t="inlineStr">
        <is>
          <t>WALL MOUNTED INDUSTRIAL FAN, NORMAL OPERATION, CONNECT TO FIRE ALARM</t>
        </is>
      </c>
      <c r="K54" s="11" t="inlineStr">
        <is>
          <t>DOL</t>
        </is>
      </c>
    </row>
    <row r="55" ht="15" customHeight="1">
      <c r="A55" s="6" t="n">
        <v>46</v>
      </c>
      <c r="B55" s="6" t="inlineStr">
        <is>
          <t>MCB-3P 16A 6kA</t>
        </is>
      </c>
      <c r="C55" s="6" t="inlineStr">
        <is>
          <t>1x3C-4mm2 Cu/XLPE/PVC +1C-4mm2 Cu/PVC G/Y</t>
        </is>
      </c>
      <c r="D55" s="7" t="inlineStr">
        <is>
          <t>EF D-002   SUGAR STORAGE</t>
        </is>
      </c>
      <c r="E55" s="8" t="n">
        <v>1100</v>
      </c>
      <c r="F55" s="6" t="inlineStr">
        <is>
          <t>3 PH</t>
        </is>
      </c>
      <c r="G55" s="9">
        <f>$E55/3</f>
        <v/>
      </c>
      <c r="H55" s="10">
        <f>$E55/3</f>
        <v/>
      </c>
      <c r="I55" s="10">
        <f>$E55/3</f>
        <v/>
      </c>
      <c r="J55" s="11" t="inlineStr">
        <is>
          <t>WALL MOUNTED INDUSTRIAL FAN, NORMAL OPERATION, CONNECT TO FIRE ALARM</t>
        </is>
      </c>
      <c r="K55" s="11" t="inlineStr">
        <is>
          <t>DOL</t>
        </is>
      </c>
    </row>
    <row r="56" ht="15" customHeight="1">
      <c r="A56" s="6" t="n">
        <v>47</v>
      </c>
      <c r="B56" s="6" t="inlineStr">
        <is>
          <t>MCB-3P 16A 6kA</t>
        </is>
      </c>
      <c r="C56" s="6" t="inlineStr">
        <is>
          <t>1x5C-4mm2 Cu/XLPE/PVC INCLUDING (N+E)</t>
        </is>
      </c>
      <c r="D56" s="7" t="inlineStr">
        <is>
          <t>IU/OU D-002   DRIVER RM (D-002)</t>
        </is>
      </c>
      <c r="E56" s="8" t="n">
        <v>2970</v>
      </c>
      <c r="F56" s="6" t="inlineStr">
        <is>
          <t>3 PH</t>
        </is>
      </c>
      <c r="G56" s="9">
        <f>$E56/3</f>
        <v/>
      </c>
      <c r="H56" s="10">
        <f>$E56/3</f>
        <v/>
      </c>
      <c r="I56" s="10">
        <f>$E56/3</f>
        <v/>
      </c>
      <c r="J56" s="11" t="inlineStr">
        <is>
          <t>CEILING CASSETTE, FCF100CVM/RZF100CYM</t>
        </is>
      </c>
      <c r="K56" s="11" t="inlineStr">
        <is>
          <t>DOL</t>
        </is>
      </c>
    </row>
    <row r="57" ht="15" customHeight="1">
      <c r="A57" s="6" t="n">
        <v>48</v>
      </c>
      <c r="B57" s="6" t="inlineStr">
        <is>
          <t>MCB-3P 16A 6kA</t>
        </is>
      </c>
      <c r="C57" s="6" t="inlineStr">
        <is>
          <t>1x5C-4mm2 Cu/XLPE/PVC INCLUDING (N+E)</t>
        </is>
      </c>
      <c r="D57" s="7" t="inlineStr">
        <is>
          <t>IU/OU D-005   WAREHOUSE COUNTER OFF. (D-010)</t>
        </is>
      </c>
      <c r="E57" s="8" t="n">
        <v>2970</v>
      </c>
      <c r="F57" s="6" t="inlineStr">
        <is>
          <t>3 PH</t>
        </is>
      </c>
      <c r="G57" s="9">
        <f>$E57/3</f>
        <v/>
      </c>
      <c r="H57" s="10">
        <f>$E57/3</f>
        <v/>
      </c>
      <c r="I57" s="10">
        <f>$E57/3</f>
        <v/>
      </c>
      <c r="J57" s="11" t="inlineStr">
        <is>
          <t>CEILING CASSETTE, FCF100CVM/RZF100CYM</t>
        </is>
      </c>
      <c r="K57" s="11" t="inlineStr">
        <is>
          <t>DOL</t>
        </is>
      </c>
    </row>
    <row r="58" ht="15" customHeight="1">
      <c r="A58" s="6" t="n">
        <v>49</v>
      </c>
      <c r="B58" s="6" t="inlineStr">
        <is>
          <t>MCB-3P 16A 6kA</t>
        </is>
      </c>
      <c r="C58" s="6" t="inlineStr">
        <is>
          <t>1x5C-4mm2 Cu/XLPE/PVC INCLUDING (N+E)</t>
        </is>
      </c>
      <c r="D58" s="7" t="inlineStr">
        <is>
          <t>IU/OU D-101   MEETING ROOM (D-101)</t>
        </is>
      </c>
      <c r="E58" s="8" t="n">
        <v>4180</v>
      </c>
      <c r="F58" s="6" t="inlineStr">
        <is>
          <t>3 PH</t>
        </is>
      </c>
      <c r="G58" s="9">
        <f>$E58/3</f>
        <v/>
      </c>
      <c r="H58" s="10">
        <f>$E58/3</f>
        <v/>
      </c>
      <c r="I58" s="10">
        <f>$E58/3</f>
        <v/>
      </c>
      <c r="J58" s="11" t="inlineStr">
        <is>
          <t>CEILING CASSETTE, FCF125CVM/RZF125CYM</t>
        </is>
      </c>
      <c r="K58" s="11" t="inlineStr">
        <is>
          <t>DOL</t>
        </is>
      </c>
    </row>
    <row r="59" ht="15" customHeight="1">
      <c r="A59" s="6" t="n">
        <v>50</v>
      </c>
      <c r="B59" s="6" t="inlineStr">
        <is>
          <t>MCB-1P 10A 6kA</t>
        </is>
      </c>
      <c r="C59" s="6" t="inlineStr">
        <is>
          <t>1x3C-4mm2 Cu/XLPE/PVC INCLUDING (E)</t>
        </is>
      </c>
      <c r="D59" s="7" t="inlineStr">
        <is>
          <t>IU/OU D-001   TAX OFF (D-001)</t>
        </is>
      </c>
      <c r="E59" s="8" t="n">
        <v>890</v>
      </c>
      <c r="F59" s="6" t="inlineStr">
        <is>
          <t>1 PH</t>
        </is>
      </c>
      <c r="G59" s="9" t="n"/>
      <c r="H59" s="10">
        <f>$E59</f>
        <v/>
      </c>
      <c r="I59" s="10" t="n"/>
      <c r="J59" s="11" t="inlineStr">
        <is>
          <t>WALL MOUNTED, FTKE50AV1F/RKE50AV1</t>
        </is>
      </c>
      <c r="K59" s="11" t="inlineStr">
        <is>
          <t>DOL</t>
        </is>
      </c>
    </row>
    <row r="60" ht="15" customHeight="1">
      <c r="A60" s="6" t="n">
        <v>51</v>
      </c>
      <c r="B60" s="6" t="inlineStr">
        <is>
          <t>MCB-1P 10A 6kA</t>
        </is>
      </c>
      <c r="C60" s="6" t="inlineStr">
        <is>
          <t>1x3C-4mm2 Cu/XLPE/PVC INCLUDING (E)</t>
        </is>
      </c>
      <c r="D60" s="7" t="inlineStr">
        <is>
          <t>IU/OU D-003   LOGISTIC OFF. MANAGER (D-008)</t>
        </is>
      </c>
      <c r="E60" s="8" t="n">
        <v>890</v>
      </c>
      <c r="F60" s="6" t="inlineStr">
        <is>
          <t>1 PH</t>
        </is>
      </c>
      <c r="G60" s="9" t="n"/>
      <c r="H60" s="10" t="n"/>
      <c r="I60" s="10">
        <f>$E60</f>
        <v/>
      </c>
      <c r="J60" s="11" t="inlineStr">
        <is>
          <t>WALL MOUNTED, FTKE25AV1F/RKE25AV1</t>
        </is>
      </c>
      <c r="K60" s="11" t="inlineStr">
        <is>
          <t>DOL</t>
        </is>
      </c>
    </row>
    <row r="61" ht="15" customHeight="1">
      <c r="A61" s="6" t="n">
        <v>52</v>
      </c>
      <c r="B61" s="6" t="inlineStr">
        <is>
          <t>MCB-1P 16A 6kA</t>
        </is>
      </c>
      <c r="C61" s="6" t="inlineStr">
        <is>
          <t>1x3C-4mm2 Cu/XLPE/PVC INCLUDING (E)</t>
        </is>
      </c>
      <c r="D61" s="7" t="inlineStr">
        <is>
          <t>IU/OU D-004   LOGISTIC OFF. (D-009)</t>
        </is>
      </c>
      <c r="E61" s="8" t="n">
        <v>2000</v>
      </c>
      <c r="F61" s="6" t="inlineStr">
        <is>
          <t>1 PH</t>
        </is>
      </c>
      <c r="G61" s="9">
        <f>$E61</f>
        <v/>
      </c>
      <c r="H61" s="10" t="n"/>
      <c r="I61" s="10" t="n"/>
      <c r="J61" s="11" t="inlineStr">
        <is>
          <t>WALL MOUNTED, FTKE50AV1F/RKE50AV1</t>
        </is>
      </c>
      <c r="K61" s="11" t="inlineStr">
        <is>
          <t>DOL</t>
        </is>
      </c>
    </row>
    <row r="62" ht="15" customHeight="1">
      <c r="A62" s="6" t="n">
        <v>53</v>
      </c>
      <c r="B62" s="6" t="inlineStr">
        <is>
          <t>MCB-1P 10A 6kA</t>
        </is>
      </c>
      <c r="C62" s="6" t="inlineStr">
        <is>
          <t>1x3C-4mm2 Cu/XLPE/PVC INCLUDING (E)</t>
        </is>
      </c>
      <c r="D62" s="7" t="inlineStr">
        <is>
          <t>IU/OU D-006   SUPERVISOR (D-011)</t>
        </is>
      </c>
      <c r="E62" s="8" t="n">
        <v>1000</v>
      </c>
      <c r="F62" s="6" t="inlineStr">
        <is>
          <t>1 PH</t>
        </is>
      </c>
      <c r="G62" s="9">
        <f>$E62</f>
        <v/>
      </c>
      <c r="H62" s="10" t="n"/>
      <c r="I62" s="10" t="n"/>
      <c r="J62" s="11" t="inlineStr">
        <is>
          <t>WALL MOUNTED, FTKE35AV1F/RKE35AV1</t>
        </is>
      </c>
      <c r="K62" s="11" t="inlineStr">
        <is>
          <t>DOL</t>
        </is>
      </c>
    </row>
    <row r="63" ht="15" customHeight="1">
      <c r="A63" s="6" t="n">
        <v>54</v>
      </c>
      <c r="B63" s="6" t="inlineStr">
        <is>
          <t>MCB-1P 10A 6kA</t>
        </is>
      </c>
      <c r="C63" s="6" t="inlineStr">
        <is>
          <t>1x3C-4mm2 Cu/XLPE/PVC INCLUDING (E)</t>
        </is>
      </c>
      <c r="D63" s="7" t="inlineStr">
        <is>
          <t>IU/OU D-007   ELECTRICAL ROOM (D-017)</t>
        </is>
      </c>
      <c r="E63" s="8" t="n">
        <v>890</v>
      </c>
      <c r="F63" s="6" t="inlineStr">
        <is>
          <t>1 PH</t>
        </is>
      </c>
      <c r="G63" s="9" t="n"/>
      <c r="H63" s="10">
        <f>$E63</f>
        <v/>
      </c>
      <c r="I63" s="10" t="n"/>
      <c r="J63" s="11" t="inlineStr">
        <is>
          <t>WALL MOUNTED, FTKE25AV1F/RKE25AV1</t>
        </is>
      </c>
      <c r="K63" s="11" t="inlineStr">
        <is>
          <t>DOL</t>
        </is>
      </c>
    </row>
    <row r="64" ht="15" customHeight="1">
      <c r="A64" s="6" t="n">
        <v>55</v>
      </c>
      <c r="B64" s="6" t="inlineStr">
        <is>
          <t>MCB-1P 16A 6kA</t>
        </is>
      </c>
      <c r="C64" s="6" t="inlineStr">
        <is>
          <t>1x3C-4mm2 Cu/XLPE/PVC INCLUDING (E)</t>
        </is>
      </c>
      <c r="D64" s="7" t="inlineStr">
        <is>
          <t>IU/OU D-102   PANTRY (D-102)</t>
        </is>
      </c>
      <c r="E64" s="8" t="n">
        <v>2000</v>
      </c>
      <c r="F64" s="6" t="inlineStr">
        <is>
          <t>1 PH</t>
        </is>
      </c>
      <c r="G64" s="9" t="n"/>
      <c r="H64" s="10">
        <f>$E64</f>
        <v/>
      </c>
      <c r="I64" s="10" t="n"/>
      <c r="J64" s="11" t="inlineStr">
        <is>
          <t>WALL MOUNTED, FTKE50AV1F/RKE50AV1</t>
        </is>
      </c>
      <c r="K64" s="11" t="inlineStr">
        <is>
          <t>DOL</t>
        </is>
      </c>
    </row>
    <row r="65" ht="15" customHeight="1">
      <c r="A65" s="6" t="n">
        <v>56</v>
      </c>
      <c r="B65" s="6" t="inlineStr">
        <is>
          <t>MCB-1P 16A 6kA</t>
        </is>
      </c>
      <c r="C65" s="6" t="inlineStr">
        <is>
          <t>1x3C-4mm2 Cu/XLPE/PVC INCLUDING (E)</t>
        </is>
      </c>
      <c r="D65" s="7" t="inlineStr">
        <is>
          <t>IU/OU D-105   SUPERVISOR OFFICE 1 (D-107)</t>
        </is>
      </c>
      <c r="E65" s="8" t="n">
        <v>2000</v>
      </c>
      <c r="F65" s="6" t="inlineStr">
        <is>
          <t>1 PH</t>
        </is>
      </c>
      <c r="G65" s="9" t="n"/>
      <c r="H65" s="10" t="n"/>
      <c r="I65" s="10">
        <f>$E65</f>
        <v/>
      </c>
      <c r="J65" s="11" t="inlineStr">
        <is>
          <t>WALL MOUNTED, FTKE50AV1F/RKE50AV1</t>
        </is>
      </c>
      <c r="K65" s="11" t="inlineStr">
        <is>
          <t>DOL</t>
        </is>
      </c>
    </row>
    <row r="66" ht="15" customHeight="1">
      <c r="A66" s="6" t="n">
        <v>57</v>
      </c>
      <c r="B66" s="6" t="inlineStr">
        <is>
          <t>MCB-1P 16A 6kA</t>
        </is>
      </c>
      <c r="C66" s="6" t="inlineStr">
        <is>
          <t>1x3C-4mm2 Cu/XLPE/PVC INCLUDING (E)</t>
        </is>
      </c>
      <c r="D66" s="7" t="inlineStr">
        <is>
          <t>IU/OU D-106   SUPERVISOR OFFICE 2 (D-108)</t>
        </is>
      </c>
      <c r="E66" s="8" t="n">
        <v>2000</v>
      </c>
      <c r="F66" s="6" t="inlineStr">
        <is>
          <t>1 PH</t>
        </is>
      </c>
      <c r="G66" s="9">
        <f>$E66</f>
        <v/>
      </c>
      <c r="H66" s="10" t="n"/>
      <c r="I66" s="10" t="n"/>
      <c r="J66" s="11" t="inlineStr">
        <is>
          <t>WALL MOUNTED, FTKE50AV1F/RKE50AV1</t>
        </is>
      </c>
      <c r="K66" s="11" t="inlineStr">
        <is>
          <t>DOL</t>
        </is>
      </c>
    </row>
    <row r="67" ht="15" customHeight="1">
      <c r="A67" s="6" t="n">
        <v>58</v>
      </c>
      <c r="B67" s="6" t="inlineStr">
        <is>
          <t>MCB-1P 16A 6kA</t>
        </is>
      </c>
      <c r="C67" s="6" t="inlineStr">
        <is>
          <t>1x3C-4mm2 Cu/XLPE/PVC INCLUDING (E)</t>
        </is>
      </c>
      <c r="D67" s="7" t="inlineStr">
        <is>
          <t>IU/OU D-107   OFFICE (D-106)</t>
        </is>
      </c>
      <c r="E67" s="8" t="n">
        <v>2000</v>
      </c>
      <c r="F67" s="6" t="inlineStr">
        <is>
          <t>1 PH</t>
        </is>
      </c>
      <c r="G67" s="9" t="n"/>
      <c r="H67" s="10">
        <f>$E67</f>
        <v/>
      </c>
      <c r="I67" s="10" t="n"/>
      <c r="J67" s="11" t="inlineStr">
        <is>
          <t>WALL MOUNTED, FTKE60AV1F/RKE60AV1</t>
        </is>
      </c>
      <c r="K67" s="11" t="inlineStr">
        <is>
          <t>DOL</t>
        </is>
      </c>
    </row>
    <row r="68" ht="15" customHeight="1">
      <c r="A68" s="6" t="n">
        <v>59</v>
      </c>
      <c r="B68" s="6" t="inlineStr">
        <is>
          <t>MCB-1P 16A 6kA</t>
        </is>
      </c>
      <c r="C68" s="6" t="inlineStr">
        <is>
          <t>1x3C-4mm2 Cu/XLPE/PVC INCLUDING (E)</t>
        </is>
      </c>
      <c r="D68" s="7" t="inlineStr">
        <is>
          <t>IU/OU D-108   MANAGER OFFICE 1 (D-109)</t>
        </is>
      </c>
      <c r="E68" s="8" t="n">
        <v>2000</v>
      </c>
      <c r="F68" s="6" t="inlineStr">
        <is>
          <t>1 PH</t>
        </is>
      </c>
      <c r="G68" s="9" t="n"/>
      <c r="H68" s="10" t="n"/>
      <c r="I68" s="10">
        <f>$E68</f>
        <v/>
      </c>
      <c r="J68" s="11" t="inlineStr">
        <is>
          <t>WALL MOUNTED, FTKE50AV1F/RKE50AV1</t>
        </is>
      </c>
      <c r="K68" s="11" t="inlineStr">
        <is>
          <t>DOL</t>
        </is>
      </c>
    </row>
    <row r="69" ht="15" customHeight="1">
      <c r="A69" s="6" t="n">
        <v>60</v>
      </c>
      <c r="B69" s="6" t="inlineStr">
        <is>
          <t>MCB-1P 10A 6kA</t>
        </is>
      </c>
      <c r="C69" s="6" t="inlineStr">
        <is>
          <t>1x3C-4mm2 Cu/XLPE/PVC INCLUDING (E)</t>
        </is>
      </c>
      <c r="D69" s="7" t="inlineStr">
        <is>
          <t>IU/OU D-109   MANAGER OFFICE 2 (D-110)</t>
        </is>
      </c>
      <c r="E69" s="8" t="n">
        <v>890</v>
      </c>
      <c r="F69" s="6" t="inlineStr">
        <is>
          <t>1 PH</t>
        </is>
      </c>
      <c r="G69" s="9" t="n"/>
      <c r="H69" s="10" t="n"/>
      <c r="I69" s="10">
        <f>$E69</f>
        <v/>
      </c>
      <c r="J69" s="11" t="inlineStr">
        <is>
          <t>WALL MOUNTED, FTKE25AV1F/RKE25AV1</t>
        </is>
      </c>
      <c r="K69" s="11" t="inlineStr">
        <is>
          <t>DOL</t>
        </is>
      </c>
    </row>
    <row r="70" ht="15" customHeight="1">
      <c r="A70" s="6" t="n">
        <v>61</v>
      </c>
      <c r="B70" s="6" t="inlineStr">
        <is>
          <t>MCB-1P 10A 6kA</t>
        </is>
      </c>
      <c r="C70" s="6" t="inlineStr">
        <is>
          <t>1x3C-4mm2 Cu/XLPE/PVC INCLUDING (E)</t>
        </is>
      </c>
      <c r="D70" s="7" t="inlineStr">
        <is>
          <t>EF D-003   DRIVER TOILET (D-003)</t>
        </is>
      </c>
      <c r="E70" s="8" t="n">
        <v>70</v>
      </c>
      <c r="F70" s="6" t="inlineStr">
        <is>
          <t>1 PH</t>
        </is>
      </c>
      <c r="G70" s="9">
        <f>$E70</f>
        <v/>
      </c>
      <c r="H70" s="10" t="n"/>
      <c r="I70" s="10" t="n"/>
      <c r="J70" s="11" t="inlineStr">
        <is>
          <t>INLINE CENTRIFUGAL CABINET FAN</t>
        </is>
      </c>
      <c r="K70" s="11" t="inlineStr">
        <is>
          <t>DOL</t>
        </is>
      </c>
    </row>
    <row r="71" ht="15" customHeight="1">
      <c r="A71" s="6" t="n">
        <v>62</v>
      </c>
      <c r="B71" s="6" t="inlineStr">
        <is>
          <t>MCB-1P 10A 6kA</t>
        </is>
      </c>
      <c r="C71" s="6" t="inlineStr">
        <is>
          <t>1x3C-4mm2 Cu/XLPE/PVC INCLUDING (E)</t>
        </is>
      </c>
      <c r="D71" s="7" t="inlineStr">
        <is>
          <t>EF D-004   TOILET &amp; JANITOR (D-005,006,007)</t>
        </is>
      </c>
      <c r="E71" s="8" t="n">
        <v>70</v>
      </c>
      <c r="F71" s="6" t="inlineStr">
        <is>
          <t>1 PH</t>
        </is>
      </c>
      <c r="G71" s="9">
        <f>$E71</f>
        <v/>
      </c>
      <c r="H71" s="10" t="n"/>
      <c r="I71" s="10" t="n"/>
      <c r="J71" s="11" t="inlineStr">
        <is>
          <t>INLINE CENTRIFUGAL CABINET FAN</t>
        </is>
      </c>
      <c r="K71" s="11" t="inlineStr">
        <is>
          <t>DOL</t>
        </is>
      </c>
    </row>
    <row r="72" ht="15" customHeight="1">
      <c r="A72" s="6" t="n">
        <v>63</v>
      </c>
      <c r="B72" s="6" t="inlineStr">
        <is>
          <t>MCB-1P 10A 6kA</t>
        </is>
      </c>
      <c r="C72" s="6" t="inlineStr">
        <is>
          <t>1x3C-4mm2 Cu/XLPE/PVC INCLUDING (E)</t>
        </is>
      </c>
      <c r="D72" s="7" t="inlineStr">
        <is>
          <t>EF/CF D-101   LOCKER (D-103)</t>
        </is>
      </c>
      <c r="E72" s="8" t="n">
        <v>120</v>
      </c>
      <c r="F72" s="6" t="inlineStr">
        <is>
          <t>1 PH</t>
        </is>
      </c>
      <c r="G72" s="9">
        <f>$E72</f>
        <v/>
      </c>
      <c r="H72" s="10" t="n"/>
      <c r="I72" s="10" t="n"/>
      <c r="J72" s="11" t="inlineStr">
        <is>
          <t>SIROCCO VENT. FAN 50W + CEILING PROPELLER FAN 70W</t>
        </is>
      </c>
      <c r="K72" s="11" t="inlineStr">
        <is>
          <t>DOL</t>
        </is>
      </c>
    </row>
    <row r="73" ht="15" customHeight="1">
      <c r="A73" s="6" t="n">
        <v>64</v>
      </c>
      <c r="B73" s="6" t="inlineStr">
        <is>
          <t>MCB-1P 10A 6kA</t>
        </is>
      </c>
      <c r="C73" s="6" t="inlineStr">
        <is>
          <t>1x3C-4mm2 Cu/XLPE/PVC INCLUDING (E)</t>
        </is>
      </c>
      <c r="D73" s="7" t="inlineStr">
        <is>
          <t>EF/CF D-102   ARCHIVE ROOM (D-105)</t>
        </is>
      </c>
      <c r="E73" s="8" t="n">
        <v>140</v>
      </c>
      <c r="F73" s="6" t="inlineStr">
        <is>
          <t>1 PH</t>
        </is>
      </c>
      <c r="G73" s="9">
        <f>$E73</f>
        <v/>
      </c>
      <c r="H73" s="10" t="n"/>
      <c r="I73" s="10" t="n"/>
      <c r="J73" s="11" t="inlineStr">
        <is>
          <t>SIROCCO VENT. FAN 70W + CEILING PROPELLER FAN 70W</t>
        </is>
      </c>
      <c r="K73" s="11" t="inlineStr">
        <is>
          <t>DOL</t>
        </is>
      </c>
    </row>
    <row r="74" ht="15" customHeight="1">
      <c r="A74" s="6" t="n">
        <v>65</v>
      </c>
      <c r="B74" s="6" t="inlineStr">
        <is>
          <t>MCB-1P 10A 6kA</t>
        </is>
      </c>
      <c r="C74" s="6" t="inlineStr">
        <is>
          <t>1x3C-4mm2 Cu/XLPE/PVC INCLUDING (E)</t>
        </is>
      </c>
      <c r="D74" s="7" t="inlineStr">
        <is>
          <t>EF D-103   PANTRY (D-102)</t>
        </is>
      </c>
      <c r="E74" s="8" t="n">
        <v>80</v>
      </c>
      <c r="F74" s="6" t="inlineStr">
        <is>
          <t>1 PH</t>
        </is>
      </c>
      <c r="G74" s="9">
        <f>$E74</f>
        <v/>
      </c>
      <c r="H74" s="10" t="n"/>
      <c r="I74" s="10" t="n"/>
      <c r="J74" s="11" t="inlineStr">
        <is>
          <t>CEILING MOUNTED SIROCCO VENTILATING FAN</t>
        </is>
      </c>
      <c r="K74" s="11" t="inlineStr">
        <is>
          <t>DOL</t>
        </is>
      </c>
    </row>
    <row r="75" ht="15" customHeight="1">
      <c r="A75" s="6" t="n">
        <v>66</v>
      </c>
      <c r="B75" s="6" t="n"/>
      <c r="C75" s="6" t="n"/>
      <c r="D75" s="7" t="inlineStr">
        <is>
          <t>SPARE</t>
        </is>
      </c>
      <c r="E75" s="8" t="n"/>
      <c r="F75" s="6" t="n"/>
      <c r="G75" s="9" t="n"/>
      <c r="H75" s="10" t="n"/>
      <c r="I75" s="10" t="n"/>
      <c r="J75" s="11" t="n"/>
      <c r="K75" s="11" t="n"/>
    </row>
    <row r="76" ht="15" customHeight="1">
      <c r="A76" s="6" t="n">
        <v>67</v>
      </c>
      <c r="B76" s="6" t="n"/>
      <c r="C76" s="6" t="n"/>
      <c r="D76" s="7" t="inlineStr">
        <is>
          <t>SPARE</t>
        </is>
      </c>
      <c r="E76" s="8" t="n"/>
      <c r="F76" s="6" t="n"/>
      <c r="G76" s="9" t="n"/>
      <c r="H76" s="10" t="n"/>
      <c r="I76" s="10" t="n"/>
      <c r="J76" s="11" t="n"/>
      <c r="K76" s="11" t="n"/>
    </row>
    <row r="77" ht="15" customHeight="1">
      <c r="A77" s="6" t="n">
        <v>68</v>
      </c>
      <c r="B77" s="6" t="n"/>
      <c r="C77" s="6" t="n"/>
      <c r="D77" s="7" t="inlineStr">
        <is>
          <t>SPARE</t>
        </is>
      </c>
      <c r="E77" s="8" t="n"/>
      <c r="F77" s="6" t="n"/>
      <c r="G77" s="9" t="n"/>
      <c r="H77" s="10" t="n"/>
      <c r="I77" s="10" t="n"/>
      <c r="J77" s="11" t="n"/>
      <c r="K77" s="11" t="n"/>
    </row>
    <row r="78">
      <c r="A78" s="32" t="inlineStr">
        <is>
          <t>SUB TOTAL</t>
        </is>
      </c>
      <c r="B78" s="46" t="n"/>
      <c r="C78" s="46" t="n"/>
      <c r="D78" s="46" t="n"/>
      <c r="E78" s="46" t="n"/>
      <c r="F78" s="45" t="n"/>
      <c r="G78" s="38">
        <f>SUM(G10:G77)</f>
        <v/>
      </c>
      <c r="H78" s="38">
        <f>SUM(H10:H77)</f>
        <v/>
      </c>
      <c r="I78" s="38">
        <f>SUM(I10:I77)</f>
        <v/>
      </c>
      <c r="J78" s="16" t="n"/>
    </row>
    <row r="79">
      <c r="A79" s="32" t="inlineStr">
        <is>
          <t>TOTAL WATT</t>
        </is>
      </c>
      <c r="B79" s="46" t="n"/>
      <c r="C79" s="46" t="n"/>
      <c r="D79" s="46" t="n"/>
      <c r="E79" s="46" t="n"/>
      <c r="F79" s="45" t="n"/>
      <c r="G79" s="38">
        <f>SUM(G78:I78)</f>
        <v/>
      </c>
      <c r="H79" s="46" t="n"/>
      <c r="I79" s="45" t="n"/>
      <c r="J79" s="16" t="n"/>
    </row>
    <row r="80">
      <c r="A80" s="32" t="inlineStr">
        <is>
          <t>TOTAL VA</t>
        </is>
      </c>
      <c r="B80" s="46" t="n"/>
      <c r="C80" s="46" t="n"/>
      <c r="D80" s="46" t="n"/>
      <c r="E80" s="46" t="n"/>
      <c r="F80" s="45" t="n"/>
      <c r="G80" s="38">
        <f>G79/$C$5</f>
        <v/>
      </c>
      <c r="H80" s="46" t="n"/>
      <c r="I80" s="45" t="n"/>
      <c r="J80" s="16" t="n"/>
    </row>
    <row r="81">
      <c r="A81" s="32" t="inlineStr">
        <is>
          <t>CONNECTED AMPERE</t>
        </is>
      </c>
      <c r="B81" s="46" t="n"/>
      <c r="C81" s="46" t="n"/>
      <c r="D81" s="46" t="n"/>
      <c r="E81" s="46" t="n"/>
      <c r="F81" s="45" t="n"/>
      <c r="G81" s="38">
        <f>G80/(SQRT(3)*$C$6)</f>
        <v/>
      </c>
      <c r="H81" s="46" t="n"/>
      <c r="I81" s="45" t="n"/>
      <c r="J81" s="16" t="n"/>
    </row>
    <row r="82">
      <c r="A82" s="32" t="inlineStr">
        <is>
          <t>DIVERSITY FACTOR Ku</t>
        </is>
      </c>
      <c r="B82" s="46" t="n"/>
      <c r="C82" s="46" t="n"/>
      <c r="D82" s="46" t="n"/>
      <c r="E82" s="46" t="n"/>
      <c r="F82" s="45" t="n"/>
      <c r="G82" s="39" t="n">
        <v>0.9</v>
      </c>
      <c r="H82" s="46" t="n"/>
      <c r="I82" s="45" t="n"/>
      <c r="J82" s="16" t="n"/>
    </row>
    <row r="83">
      <c r="A83" s="32" t="inlineStr">
        <is>
          <t>SPARE</t>
        </is>
      </c>
      <c r="B83" s="46" t="n"/>
      <c r="C83" s="46" t="n"/>
      <c r="D83" s="46" t="n"/>
      <c r="E83" s="46" t="n"/>
      <c r="F83" s="45" t="n"/>
      <c r="G83" s="35" t="n">
        <v>0.2</v>
      </c>
      <c r="H83" s="46" t="n"/>
      <c r="I83" s="45" t="n"/>
      <c r="J83" s="16" t="n"/>
    </row>
    <row r="84">
      <c r="A84" s="32" t="inlineStr">
        <is>
          <t>Pact (kW) = TOTAL WATT x Ku x (1 + SPARE)</t>
        </is>
      </c>
      <c r="B84" s="46" t="n"/>
      <c r="C84" s="46" t="n"/>
      <c r="D84" s="46" t="n"/>
      <c r="E84" s="46" t="n"/>
      <c r="F84" s="45" t="n"/>
      <c r="G84" s="36">
        <f>G79*G82*(1+G83)/1000</f>
        <v/>
      </c>
      <c r="H84" s="46" t="n"/>
      <c r="I84" s="45" t="n"/>
      <c r="J84" s="16" t="n"/>
    </row>
    <row r="85">
      <c r="A85" s="32" t="inlineStr">
        <is>
          <t>DESIGN AMPERE = Pact / (SQRT(3) x V x cos phi)</t>
        </is>
      </c>
      <c r="B85" s="46" t="n"/>
      <c r="C85" s="46" t="n"/>
      <c r="D85" s="46" t="n"/>
      <c r="E85" s="46" t="n"/>
      <c r="F85" s="45" t="n"/>
      <c r="G85" s="37">
        <f>G84*1000/(SQRT(3)*$C$6*$C$5)</f>
        <v/>
      </c>
      <c r="H85" s="46" t="n"/>
      <c r="I85" s="45" t="n"/>
      <c r="J85" s="16" t="n"/>
    </row>
    <row r="86">
      <c r="A86" s="32" t="inlineStr">
        <is>
          <t>INCOMING (lihat catatan 5)</t>
        </is>
      </c>
      <c r="B86" s="46" t="n"/>
      <c r="C86" s="46" t="n"/>
      <c r="D86" s="46" t="n"/>
      <c r="E86" s="46" t="n"/>
      <c r="F86" s="45" t="n"/>
      <c r="G86" s="33" t="inlineStr">
        <is>
          <t>MCCB-3P 500A</t>
        </is>
      </c>
      <c r="H86" s="46" t="n"/>
      <c r="I86" s="45" t="n"/>
      <c r="J86" s="16" t="n"/>
    </row>
    <row r="87"/>
    <row r="88">
      <c r="A88" s="34" t="inlineStr">
        <is>
          <t>SUMBER DATA &amp; RUMUS</t>
        </is>
      </c>
    </row>
    <row r="89">
      <c r="A89" s="31" t="inlineStr">
        <is>
          <t>1.  Isi sheet ini mengikuti gambar ME-D-LV-6002 R2 (CP-FGW-L0-MVAC): 65 circuit + 3 spare. Beban dari HBE Cooling Load Calculation (Daikin split) &amp; Fan Equipment Schedule FG Warehouse.</t>
        </is>
      </c>
    </row>
    <row r="90">
      <c r="A90" s="31" t="inlineStr">
        <is>
          <t>2.  DEMAND LOAD R/S/T = beban circuit; circuit 3 fase dibagi rata 3 (=$E/3). Beban 1 fase mengikuti label fasa di gambar (diseimbangkan R/S/T).</t>
        </is>
      </c>
    </row>
    <row r="91">
      <c r="A91" s="31" t="inlineStr">
        <is>
          <t>3.  SUB TOTAL = SUM per kolom fase; TOTAL WATT = R + S + T; TOTAL VA = TOTAL WATT / cos phi (C5); CONNECTED AMPERE = TOTAL VA / (SQRT(3) x V L-L) (C6).</t>
        </is>
      </c>
    </row>
    <row r="92">
      <c r="A92" s="31" t="inlineStr">
        <is>
          <t>4.  STARTER: beban 5 kW ke atas memakai SOFT STARTER (SS) dengan bypass, di bawah 5 kW memakai DOL. R2: semua beban &lt; 5 kW -&gt; DOL (fan 3.7 kW).</t>
        </is>
      </c>
    </row>
    <row r="93">
      <c r="A93" s="31" t="inlineStr">
        <is>
          <t>5.  Kabel motor 3 fase: 1x3C + 1C earthing. Fan 3.7 kW: FLA 7.0 A -&gt; MCB-3P 16A, 3C-4mm2. AC 3 fase (RZF-CYM, 3N~): 1x5C-4mm2 incl. N+E, MCB-3P 16A. AC 1 fase: 3C-4mm2, 10A/16A.</t>
        </is>
      </c>
    </row>
    <row r="94">
      <c r="A94" s="31" t="inlineStr">
        <is>
          <t xml:space="preserve">     Panjang kabel = ESTIMASI dari posisi tag di layout ME-D-SO-1102 (jarak siku + 12 m naik, x 1.1). Model Revit FGW belum dipakai - perlu dicek ke rute cable tray.</t>
        </is>
      </c>
    </row>
    <row r="95">
      <c r="A95" s="31" t="inlineStr">
        <is>
          <t>6.  Incoming: MCCB-3P 500A 36kA dari MDB-FGW-L0, kabel 2x(1x4C-240mm2) + 1x(1C-120mm2 G/Y), CT 500/5A, busbar 630A. Lihat sheet CABLE SIZING. Breaker feeder di MDB-FGW-L0 perlu disesuaikan.</t>
        </is>
      </c>
    </row>
    <row r="96">
      <c r="A96" s="31" t="inlineStr">
        <is>
          <t>7.  EF D-001.09~28 ACTIVE ON EMERGENCY (kabel FRC) + EF D-001.01~08 &amp; 29~45 NORMAL, semua dengan kontaktor 24VDC interlock ke fire alarm. Status EF D-001.29~45 perlu dikonfirmasi.</t>
        </is>
      </c>
    </row>
    <row r="97">
      <c r="A97" s="31" t="inlineStr">
        <is>
          <t>8.  Sesuai note 12 sheet FAN: BS EN 12101-3 F400/120, motor class H, kabel tahan api, emergency overload bypass - starter DOL fan smoke perlu bypass overload darurat.</t>
        </is>
      </c>
    </row>
    <row r="98">
      <c r="A98" s="31" t="inlineStr">
        <is>
          <t>9.  Sel kuning (cos phi, tegangan, LOAD EQUIPMENT, Ku, spare) adalah input - boleh diubah.</t>
        </is>
      </c>
    </row>
  </sheetData>
  <mergeCells count="42">
    <mergeCell ref="A84:F84"/>
    <mergeCell ref="A97:J97"/>
    <mergeCell ref="A80:F80"/>
    <mergeCell ref="A91:J91"/>
    <mergeCell ref="B8:B9"/>
    <mergeCell ref="A4:J4"/>
    <mergeCell ref="A96:J96"/>
    <mergeCell ref="G83:I83"/>
    <mergeCell ref="A6:B6"/>
    <mergeCell ref="E8:F8"/>
    <mergeCell ref="A86:F86"/>
    <mergeCell ref="A85:F85"/>
    <mergeCell ref="A93:J93"/>
    <mergeCell ref="G80:I80"/>
    <mergeCell ref="A92:J92"/>
    <mergeCell ref="G79:I79"/>
    <mergeCell ref="A98:J98"/>
    <mergeCell ref="A81:F81"/>
    <mergeCell ref="G85:I85"/>
    <mergeCell ref="A1:J1"/>
    <mergeCell ref="A8:A9"/>
    <mergeCell ref="A94:J94"/>
    <mergeCell ref="C8:C9"/>
    <mergeCell ref="G84:I84"/>
    <mergeCell ref="A88:J88"/>
    <mergeCell ref="K8:K9"/>
    <mergeCell ref="A5:B5"/>
    <mergeCell ref="D8:D9"/>
    <mergeCell ref="A83:F83"/>
    <mergeCell ref="G81:I81"/>
    <mergeCell ref="G86:I86"/>
    <mergeCell ref="A90:J90"/>
    <mergeCell ref="A82:F82"/>
    <mergeCell ref="A89:J89"/>
    <mergeCell ref="J8:J9"/>
    <mergeCell ref="A3:J3"/>
    <mergeCell ref="A79:F79"/>
    <mergeCell ref="G8:I8"/>
    <mergeCell ref="A95:J95"/>
    <mergeCell ref="A2:J2"/>
    <mergeCell ref="A78:F78"/>
    <mergeCell ref="G82:I82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64"/>
  <sheetViews>
    <sheetView zoomScaleNormal="100" workbookViewId="0">
      <pane ySplit="9" topLeftCell="A16" activePane="bottomLeft" state="frozen"/>
      <selection pane="bottomLeft" activeCell="E24" sqref="E24"/>
    </sheetView>
  </sheetViews>
  <sheetFormatPr baseColWidth="8" defaultColWidth="8.7109375" defaultRowHeight="15"/>
  <cols>
    <col width="5.5703125" customWidth="1" min="1" max="1"/>
    <col width="22" customWidth="1" min="2" max="2"/>
    <col width="20" customWidth="1" min="3" max="3"/>
    <col width="50" customWidth="1" min="4" max="4"/>
    <col width="15" customWidth="1" min="5" max="5"/>
    <col width="9" customWidth="1" min="6" max="6"/>
    <col width="12" customWidth="1" min="7" max="9"/>
    <col width="53.42578125" customWidth="1" min="10" max="10"/>
  </cols>
  <sheetData>
    <row r="1" ht="18.75" customHeight="1">
      <c r="A1" s="42" t="inlineStr">
        <is>
          <t>FINISH GOOD WAREHOUSE - MVAC</t>
        </is>
      </c>
    </row>
    <row r="2" ht="18" customHeight="1">
      <c r="A2" s="43" t="inlineStr">
        <is>
          <t>CP-FGW-L1-MVAC (IP 42) - VOID: DIGABUNG KE CP-FGW-L0-MVAC, TIDAK LAGI DARI DEG</t>
        </is>
      </c>
    </row>
    <row r="3" ht="16.5" customHeight="1">
      <c r="A3" s="44" t="inlineStr">
        <is>
          <t>BOX PANEL - LOCATION AT FINISH GOOD WAREHOUSE</t>
        </is>
      </c>
    </row>
    <row r="4" ht="16.5" customHeight="1">
      <c r="A4" s="44" t="inlineStr">
        <is>
          <t>380/220V, 3PH, 4W, 50Hz - cos phi 0.8 - ALL CIRCUITS CONNECT TO FIRE ALARM</t>
        </is>
      </c>
    </row>
    <row r="5" ht="15" customHeight="1">
      <c r="A5" s="41" t="inlineStr">
        <is>
          <t>cos phi</t>
        </is>
      </c>
      <c r="C5" s="4" t="n">
        <v>0.8</v>
      </c>
    </row>
    <row r="6" ht="15" customHeight="1">
      <c r="A6" s="41" t="inlineStr">
        <is>
          <t>V (L-L)</t>
        </is>
      </c>
      <c r="C6" s="5" t="n">
        <v>380</v>
      </c>
    </row>
    <row r="8" ht="18" customHeight="1">
      <c r="A8" s="40" t="inlineStr">
        <is>
          <t>NO.</t>
        </is>
      </c>
      <c r="B8" s="40" t="inlineStr">
        <is>
          <t>BREAKER</t>
        </is>
      </c>
      <c r="C8" s="40" t="inlineStr">
        <is>
          <t>CABLE</t>
        </is>
      </c>
      <c r="D8" s="40" t="inlineStr">
        <is>
          <t>FUNCTION</t>
        </is>
      </c>
      <c r="E8" s="40" t="inlineStr">
        <is>
          <t>EQUIPMENT</t>
        </is>
      </c>
      <c r="F8" s="45" t="n"/>
      <c r="G8" s="40" t="inlineStr">
        <is>
          <t>DEMAND LOAD  (WATT)</t>
        </is>
      </c>
      <c r="H8" s="46" t="n"/>
      <c r="I8" s="45" t="n"/>
      <c r="J8" s="40" t="inlineStr">
        <is>
          <t>REMARKS</t>
        </is>
      </c>
    </row>
    <row r="9" ht="31.5" customHeight="1">
      <c r="A9" s="47" t="n"/>
      <c r="B9" s="47" t="n"/>
      <c r="C9" s="47" t="n"/>
      <c r="D9" s="47" t="n"/>
      <c r="E9" s="40" t="inlineStr">
        <is>
          <t>LOAD EQUIPMENT
(WATT)</t>
        </is>
      </c>
      <c r="F9" s="40" t="inlineStr">
        <is>
          <t>PHASE</t>
        </is>
      </c>
      <c r="G9" s="40" t="inlineStr">
        <is>
          <t>R</t>
        </is>
      </c>
      <c r="H9" s="40" t="inlineStr">
        <is>
          <t>S</t>
        </is>
      </c>
      <c r="I9" s="40" t="inlineStr">
        <is>
          <t>T</t>
        </is>
      </c>
      <c r="J9" s="47" t="n"/>
    </row>
    <row r="10" ht="15" customHeight="1">
      <c r="A10" s="6" t="n">
        <v>1</v>
      </c>
      <c r="B10" s="6" t="n"/>
      <c r="C10" s="6" t="n"/>
      <c r="D10" s="7" t="inlineStr">
        <is>
          <t>EF D-001.09   ROOF FAN SMOKE EXTRACTION (D-012)</t>
        </is>
      </c>
      <c r="E10" s="8" t="n">
        <v>19152</v>
      </c>
      <c r="F10" s="6" t="inlineStr">
        <is>
          <t>3 PH</t>
        </is>
      </c>
      <c r="G10" s="10">
        <f>$E10/3</f>
        <v/>
      </c>
      <c r="H10" s="10">
        <f>$E10/3</f>
        <v/>
      </c>
      <c r="I10" s="10">
        <f>$E10/3</f>
        <v/>
      </c>
      <c r="J10" s="11" t="inlineStr">
        <is>
          <t>ACTIVE ON EMERGENCY, F400/120, CLASS H MOTOR</t>
        </is>
      </c>
    </row>
    <row r="11" ht="15" customHeight="1">
      <c r="A11" s="6" t="n">
        <v>2</v>
      </c>
      <c r="B11" s="6" t="n"/>
      <c r="C11" s="6" t="n"/>
      <c r="D11" s="7" t="inlineStr">
        <is>
          <t>EF D-001.10   ROOF FAN SMOKE EXTRACTION (D-012)</t>
        </is>
      </c>
      <c r="E11" s="8" t="n">
        <v>19152</v>
      </c>
      <c r="F11" s="6" t="inlineStr">
        <is>
          <t>3 PH</t>
        </is>
      </c>
      <c r="G11" s="10">
        <f>$E11/3</f>
        <v/>
      </c>
      <c r="H11" s="10">
        <f>$E11/3</f>
        <v/>
      </c>
      <c r="I11" s="10">
        <f>$E11/3</f>
        <v/>
      </c>
      <c r="J11" s="11" t="inlineStr">
        <is>
          <t>ACTIVE ON EMERGENCY, F400/120, CLASS H MOTOR</t>
        </is>
      </c>
    </row>
    <row r="12" ht="15" customHeight="1">
      <c r="A12" s="6" t="n">
        <v>3</v>
      </c>
      <c r="B12" s="6" t="n"/>
      <c r="C12" s="6" t="n"/>
      <c r="D12" s="7" t="inlineStr">
        <is>
          <t>EF D-001.11   ROOF FAN SMOKE EXTRACTION (D-012)</t>
        </is>
      </c>
      <c r="E12" s="8" t="n">
        <v>19152</v>
      </c>
      <c r="F12" s="6" t="inlineStr">
        <is>
          <t>3 PH</t>
        </is>
      </c>
      <c r="G12" s="10">
        <f>$E12/3</f>
        <v/>
      </c>
      <c r="H12" s="10">
        <f>$E12/3</f>
        <v/>
      </c>
      <c r="I12" s="10">
        <f>$E12/3</f>
        <v/>
      </c>
      <c r="J12" s="11" t="inlineStr">
        <is>
          <t>ACTIVE ON EMERGENCY, F400/120, CLASS H MOTOR</t>
        </is>
      </c>
    </row>
    <row r="13" ht="15" customHeight="1">
      <c r="A13" s="6" t="n">
        <v>4</v>
      </c>
      <c r="B13" s="6" t="n"/>
      <c r="C13" s="6" t="n"/>
      <c r="D13" s="7" t="inlineStr">
        <is>
          <t>EF D-001.12   ROOF FAN SMOKE EXTRACTION (D-012)</t>
        </is>
      </c>
      <c r="E13" s="8" t="n">
        <v>19152</v>
      </c>
      <c r="F13" s="6" t="inlineStr">
        <is>
          <t>3 PH</t>
        </is>
      </c>
      <c r="G13" s="10">
        <f>$E13/3</f>
        <v/>
      </c>
      <c r="H13" s="10">
        <f>$E13/3</f>
        <v/>
      </c>
      <c r="I13" s="10">
        <f>$E13/3</f>
        <v/>
      </c>
      <c r="J13" s="11" t="inlineStr">
        <is>
          <t>ACTIVE ON EMERGENCY, F400/120, CLASS H MOTOR</t>
        </is>
      </c>
    </row>
    <row r="14" ht="15" customHeight="1">
      <c r="A14" s="6" t="n">
        <v>5</v>
      </c>
      <c r="B14" s="6" t="n"/>
      <c r="C14" s="6" t="n"/>
      <c r="D14" s="7" t="inlineStr">
        <is>
          <t>EF D-001.13   ROOF FAN SMOKE EXTRACTION (D-012)</t>
        </is>
      </c>
      <c r="E14" s="8" t="n">
        <v>19152</v>
      </c>
      <c r="F14" s="6" t="inlineStr">
        <is>
          <t>3 PH</t>
        </is>
      </c>
      <c r="G14" s="10">
        <f>$E14/3</f>
        <v/>
      </c>
      <c r="H14" s="10">
        <f>$E14/3</f>
        <v/>
      </c>
      <c r="I14" s="10">
        <f>$E14/3</f>
        <v/>
      </c>
      <c r="J14" s="11" t="inlineStr">
        <is>
          <t>ACTIVE ON EMERGENCY, F400/120, CLASS H MOTOR</t>
        </is>
      </c>
    </row>
    <row r="15" ht="15" customHeight="1">
      <c r="A15" s="6" t="n">
        <v>6</v>
      </c>
      <c r="B15" s="6" t="n"/>
      <c r="C15" s="6" t="n"/>
      <c r="D15" s="7" t="inlineStr">
        <is>
          <t>EF D-001.14   ROOF FAN SMOKE EXTRACTION (D-012)</t>
        </is>
      </c>
      <c r="E15" s="8" t="n">
        <v>19152</v>
      </c>
      <c r="F15" s="6" t="inlineStr">
        <is>
          <t>3 PH</t>
        </is>
      </c>
      <c r="G15" s="10">
        <f>$E15/3</f>
        <v/>
      </c>
      <c r="H15" s="10">
        <f>$E15/3</f>
        <v/>
      </c>
      <c r="I15" s="10">
        <f>$E15/3</f>
        <v/>
      </c>
      <c r="J15" s="11" t="inlineStr">
        <is>
          <t>ACTIVE ON EMERGENCY, F400/120, CLASS H MOTOR</t>
        </is>
      </c>
    </row>
    <row r="16" ht="15" customHeight="1">
      <c r="A16" s="6" t="n">
        <v>7</v>
      </c>
      <c r="B16" s="6" t="n"/>
      <c r="C16" s="6" t="n"/>
      <c r="D16" s="7" t="inlineStr">
        <is>
          <t>EF D-001.15   ROOF FAN SMOKE EXTRACTION (D-012)</t>
        </is>
      </c>
      <c r="E16" s="8" t="n">
        <v>19152</v>
      </c>
      <c r="F16" s="6" t="inlineStr">
        <is>
          <t>3 PH</t>
        </is>
      </c>
      <c r="G16" s="10">
        <f>$E16/3</f>
        <v/>
      </c>
      <c r="H16" s="10">
        <f>$E16/3</f>
        <v/>
      </c>
      <c r="I16" s="10">
        <f>$E16/3</f>
        <v/>
      </c>
      <c r="J16" s="11" t="inlineStr">
        <is>
          <t>ACTIVE ON EMERGENCY, F400/120, CLASS H MOTOR</t>
        </is>
      </c>
    </row>
    <row r="17" ht="15" customHeight="1">
      <c r="A17" s="6" t="n">
        <v>8</v>
      </c>
      <c r="B17" s="6" t="n"/>
      <c r="C17" s="6" t="n"/>
      <c r="D17" s="7" t="inlineStr">
        <is>
          <t>EF D-001.16   ROOF FAN SMOKE EXTRACTION (D-012)</t>
        </is>
      </c>
      <c r="E17" s="8" t="n">
        <v>19152</v>
      </c>
      <c r="F17" s="6" t="inlineStr">
        <is>
          <t>3 PH</t>
        </is>
      </c>
      <c r="G17" s="10">
        <f>$E17/3</f>
        <v/>
      </c>
      <c r="H17" s="10">
        <f>$E17/3</f>
        <v/>
      </c>
      <c r="I17" s="10">
        <f>$E17/3</f>
        <v/>
      </c>
      <c r="J17" s="11" t="inlineStr">
        <is>
          <t>ACTIVE ON EMERGENCY, F400/120, CLASS H MOTOR</t>
        </is>
      </c>
    </row>
    <row r="18" ht="15" customHeight="1">
      <c r="A18" s="6" t="n">
        <v>9</v>
      </c>
      <c r="B18" s="6" t="n"/>
      <c r="C18" s="6" t="n"/>
      <c r="D18" s="7" t="inlineStr">
        <is>
          <t>EF D-001.17   ROOF FAN SMOKE EXTRACTION (D-012)</t>
        </is>
      </c>
      <c r="E18" s="8" t="n">
        <v>19152</v>
      </c>
      <c r="F18" s="6" t="inlineStr">
        <is>
          <t>3 PH</t>
        </is>
      </c>
      <c r="G18" s="10">
        <f>$E18/3</f>
        <v/>
      </c>
      <c r="H18" s="10">
        <f>$E18/3</f>
        <v/>
      </c>
      <c r="I18" s="10">
        <f>$E18/3</f>
        <v/>
      </c>
      <c r="J18" s="11" t="inlineStr">
        <is>
          <t>ACTIVE ON EMERGENCY, F400/120, CLASS H MOTOR</t>
        </is>
      </c>
    </row>
    <row r="19" ht="15" customHeight="1">
      <c r="A19" s="6" t="n">
        <v>10</v>
      </c>
      <c r="B19" s="6" t="n"/>
      <c r="C19" s="6" t="n"/>
      <c r="D19" s="7" t="inlineStr">
        <is>
          <t>EF D-001.18   ROOF FAN SMOKE EXTRACTION (D-012)</t>
        </is>
      </c>
      <c r="E19" s="8" t="n">
        <v>19152</v>
      </c>
      <c r="F19" s="6" t="inlineStr">
        <is>
          <t>3 PH</t>
        </is>
      </c>
      <c r="G19" s="10">
        <f>$E19/3</f>
        <v/>
      </c>
      <c r="H19" s="10">
        <f>$E19/3</f>
        <v/>
      </c>
      <c r="I19" s="10">
        <f>$E19/3</f>
        <v/>
      </c>
      <c r="J19" s="11" t="inlineStr">
        <is>
          <t>ACTIVE ON EMERGENCY, F400/120, CLASS H MOTOR</t>
        </is>
      </c>
    </row>
    <row r="20" ht="15" customHeight="1">
      <c r="A20" s="6" t="n">
        <v>11</v>
      </c>
      <c r="B20" s="6" t="n"/>
      <c r="C20" s="6" t="n"/>
      <c r="D20" s="7" t="inlineStr">
        <is>
          <t>EF D-001.19   ROOF FAN SMOKE EXTRACTION (D-012)</t>
        </is>
      </c>
      <c r="E20" s="8" t="n">
        <v>19152</v>
      </c>
      <c r="F20" s="6" t="inlineStr">
        <is>
          <t>3 PH</t>
        </is>
      </c>
      <c r="G20" s="10">
        <f>$E20/3</f>
        <v/>
      </c>
      <c r="H20" s="10">
        <f>$E20/3</f>
        <v/>
      </c>
      <c r="I20" s="10">
        <f>$E20/3</f>
        <v/>
      </c>
      <c r="J20" s="11" t="inlineStr">
        <is>
          <t>ACTIVE ON EMERGENCY, F400/120, CLASS H MOTOR</t>
        </is>
      </c>
    </row>
    <row r="21" ht="15" customHeight="1">
      <c r="A21" s="6" t="n">
        <v>12</v>
      </c>
      <c r="B21" s="6" t="n"/>
      <c r="C21" s="6" t="n"/>
      <c r="D21" s="7" t="inlineStr">
        <is>
          <t>EF D-001.20   ROOF FAN SMOKE EXTRACTION (D-012)</t>
        </is>
      </c>
      <c r="E21" s="8" t="n">
        <v>19152</v>
      </c>
      <c r="F21" s="6" t="inlineStr">
        <is>
          <t>3 PH</t>
        </is>
      </c>
      <c r="G21" s="10">
        <f>$E21/3</f>
        <v/>
      </c>
      <c r="H21" s="10">
        <f>$E21/3</f>
        <v/>
      </c>
      <c r="I21" s="10">
        <f>$E21/3</f>
        <v/>
      </c>
      <c r="J21" s="11" t="inlineStr">
        <is>
          <t>ACTIVE ON EMERGENCY, F400/120, CLASS H MOTOR</t>
        </is>
      </c>
    </row>
    <row r="22" ht="15" customHeight="1">
      <c r="A22" s="6" t="n">
        <v>13</v>
      </c>
      <c r="B22" s="6" t="n"/>
      <c r="C22" s="6" t="n"/>
      <c r="D22" s="7" t="inlineStr">
        <is>
          <t>EF D-001.21   ROOF FAN SMOKE EXTRACTION (D-012)</t>
        </is>
      </c>
      <c r="E22" s="8" t="n">
        <v>19152</v>
      </c>
      <c r="F22" s="6" t="inlineStr">
        <is>
          <t>3 PH</t>
        </is>
      </c>
      <c r="G22" s="10">
        <f>$E22/3</f>
        <v/>
      </c>
      <c r="H22" s="10">
        <f>$E22/3</f>
        <v/>
      </c>
      <c r="I22" s="10">
        <f>$E22/3</f>
        <v/>
      </c>
      <c r="J22" s="11" t="inlineStr">
        <is>
          <t>ACTIVE ON EMERGENCY, F400/120, CLASS H MOTOR</t>
        </is>
      </c>
    </row>
    <row r="23" ht="15" customHeight="1">
      <c r="A23" s="6" t="n">
        <v>14</v>
      </c>
      <c r="B23" s="6" t="n"/>
      <c r="C23" s="6" t="n"/>
      <c r="D23" s="7" t="inlineStr">
        <is>
          <t>EF D-001.22   ROOF FAN SMOKE EXTRACTION (D-012)</t>
        </is>
      </c>
      <c r="E23" s="8" t="n">
        <v>198900</v>
      </c>
      <c r="F23" s="6" t="inlineStr">
        <is>
          <t>3 PH</t>
        </is>
      </c>
      <c r="G23" s="10">
        <f>$E23/3</f>
        <v/>
      </c>
      <c r="H23" s="10">
        <f>$E23/3</f>
        <v/>
      </c>
      <c r="I23" s="10">
        <f>$E23/3</f>
        <v/>
      </c>
      <c r="J23" s="11" t="inlineStr">
        <is>
          <t>ACTIVE ON EMERGENCY, F400/120, CLASS H MOTOR</t>
        </is>
      </c>
      <c r="M23">
        <f>E23/(1.732*380*0.8)</f>
        <v/>
      </c>
    </row>
    <row r="24" ht="15" customHeight="1">
      <c r="A24" s="6" t="n">
        <v>15</v>
      </c>
      <c r="B24" s="6" t="n"/>
      <c r="C24" s="6" t="n"/>
      <c r="D24" s="7" t="inlineStr">
        <is>
          <t>EF D-001.23   ROOF FAN SMOKE EXTRACTION (D-012)</t>
        </is>
      </c>
      <c r="E24" s="8" t="n">
        <v>19152</v>
      </c>
      <c r="F24" s="6" t="inlineStr">
        <is>
          <t>3 PH</t>
        </is>
      </c>
      <c r="G24" s="10">
        <f>$E24/3</f>
        <v/>
      </c>
      <c r="H24" s="10">
        <f>$E24/3</f>
        <v/>
      </c>
      <c r="I24" s="10">
        <f>$E24/3</f>
        <v/>
      </c>
      <c r="J24" s="11" t="inlineStr">
        <is>
          <t>ACTIVE ON EMERGENCY, F400/120, CLASS H MOTOR</t>
        </is>
      </c>
    </row>
    <row r="25" ht="15" customHeight="1">
      <c r="A25" s="6" t="n">
        <v>16</v>
      </c>
      <c r="B25" s="6" t="n"/>
      <c r="C25" s="6" t="n"/>
      <c r="D25" s="7" t="inlineStr">
        <is>
          <t>EF D-001.24   ROOF FAN SMOKE EXTRACTION (D-012)</t>
        </is>
      </c>
      <c r="E25" s="8" t="n">
        <v>19152</v>
      </c>
      <c r="F25" s="6" t="inlineStr">
        <is>
          <t>3 PH</t>
        </is>
      </c>
      <c r="G25" s="10">
        <f>$E25/3</f>
        <v/>
      </c>
      <c r="H25" s="10">
        <f>$E25/3</f>
        <v/>
      </c>
      <c r="I25" s="10">
        <f>$E25/3</f>
        <v/>
      </c>
      <c r="J25" s="11" t="inlineStr">
        <is>
          <t>ACTIVE ON EMERGENCY, F400/120, CLASS H MOTOR</t>
        </is>
      </c>
    </row>
    <row r="26" ht="15" customHeight="1">
      <c r="A26" s="6" t="n">
        <v>17</v>
      </c>
      <c r="B26" s="6" t="n"/>
      <c r="C26" s="6" t="n"/>
      <c r="D26" s="7" t="inlineStr">
        <is>
          <t>EF D-001.25   ROOF FAN SMOKE EXTRACTION (D-012)</t>
        </is>
      </c>
      <c r="E26" s="8" t="n">
        <v>19152</v>
      </c>
      <c r="F26" s="6" t="inlineStr">
        <is>
          <t>3 PH</t>
        </is>
      </c>
      <c r="G26" s="10">
        <f>$E26/3</f>
        <v/>
      </c>
      <c r="H26" s="10">
        <f>$E26/3</f>
        <v/>
      </c>
      <c r="I26" s="10">
        <f>$E26/3</f>
        <v/>
      </c>
      <c r="J26" s="11" t="inlineStr">
        <is>
          <t>ACTIVE ON EMERGENCY, F400/120, CLASS H MOTOR</t>
        </is>
      </c>
    </row>
    <row r="27" ht="15" customHeight="1">
      <c r="A27" s="6" t="n">
        <v>18</v>
      </c>
      <c r="B27" s="6" t="n"/>
      <c r="C27" s="6" t="n"/>
      <c r="D27" s="7" t="inlineStr">
        <is>
          <t>EF D-001.26   ROOF FAN SMOKE EXTRACTION (D-012)</t>
        </is>
      </c>
      <c r="E27" s="8" t="n">
        <v>19152</v>
      </c>
      <c r="F27" s="6" t="inlineStr">
        <is>
          <t>3 PH</t>
        </is>
      </c>
      <c r="G27" s="10">
        <f>$E27/3</f>
        <v/>
      </c>
      <c r="H27" s="10">
        <f>$E27/3</f>
        <v/>
      </c>
      <c r="I27" s="10">
        <f>$E27/3</f>
        <v/>
      </c>
      <c r="J27" s="11" t="inlineStr">
        <is>
          <t>ACTIVE ON EMERGENCY, F400/120, CLASS H MOTOR</t>
        </is>
      </c>
    </row>
    <row r="28" ht="15" customHeight="1">
      <c r="A28" s="6" t="n">
        <v>19</v>
      </c>
      <c r="B28" s="6" t="n"/>
      <c r="C28" s="6" t="n"/>
      <c r="D28" s="7" t="inlineStr">
        <is>
          <t>EF D-001.27   ROOF FAN SMOKE EXTRACTION (D-012)</t>
        </is>
      </c>
      <c r="E28" s="8" t="n">
        <v>19152</v>
      </c>
      <c r="F28" s="6" t="inlineStr">
        <is>
          <t>3 PH</t>
        </is>
      </c>
      <c r="G28" s="10">
        <f>$E28/3</f>
        <v/>
      </c>
      <c r="H28" s="10">
        <f>$E28/3</f>
        <v/>
      </c>
      <c r="I28" s="10">
        <f>$E28/3</f>
        <v/>
      </c>
      <c r="J28" s="11" t="inlineStr">
        <is>
          <t>ACTIVE ON EMERGENCY, F400/120, CLASS H MOTOR</t>
        </is>
      </c>
    </row>
    <row r="29" ht="15" customHeight="1">
      <c r="A29" s="6" t="n">
        <v>20</v>
      </c>
      <c r="B29" s="6" t="n"/>
      <c r="C29" s="6" t="n"/>
      <c r="D29" s="7" t="inlineStr">
        <is>
          <t>EF D-001.28   ROOF FAN SMOKE EXTRACTION (D-012)</t>
        </is>
      </c>
      <c r="E29" s="8" t="n">
        <v>19152</v>
      </c>
      <c r="F29" s="6" t="inlineStr">
        <is>
          <t>3 PH</t>
        </is>
      </c>
      <c r="G29" s="10">
        <f>$E29/3</f>
        <v/>
      </c>
      <c r="H29" s="10">
        <f>$E29/3</f>
        <v/>
      </c>
      <c r="I29" s="10">
        <f>$E29/3</f>
        <v/>
      </c>
      <c r="J29" s="11" t="inlineStr">
        <is>
          <t>ACTIVE ON EMERGENCY, F400/120, CLASS H MOTOR</t>
        </is>
      </c>
    </row>
    <row r="30" ht="15" customHeight="1">
      <c r="A30" s="6" t="n">
        <v>21</v>
      </c>
      <c r="B30" s="6" t="n"/>
      <c r="C30" s="6" t="n"/>
      <c r="D30" s="7" t="inlineStr">
        <is>
          <t>EF D-001.01   ROOF FAN FINISH GOOD WAREHOUSE (D-012)</t>
        </is>
      </c>
      <c r="E30" s="8" t="n">
        <v>19152</v>
      </c>
      <c r="F30" s="6" t="inlineStr">
        <is>
          <t>3 PH</t>
        </is>
      </c>
      <c r="G30" s="10">
        <f>$E30/3</f>
        <v/>
      </c>
      <c r="H30" s="10">
        <f>$E30/3</f>
        <v/>
      </c>
      <c r="I30" s="10">
        <f>$E30/3</f>
        <v/>
      </c>
      <c r="J30" s="11" t="inlineStr">
        <is>
          <t>NORMAL OPERATION, QEI-54-200</t>
        </is>
      </c>
    </row>
    <row r="31" ht="15" customHeight="1">
      <c r="A31" s="6" t="n">
        <v>22</v>
      </c>
      <c r="B31" s="6" t="n"/>
      <c r="C31" s="6" t="n"/>
      <c r="D31" s="7" t="inlineStr">
        <is>
          <t>EF D-001.02   ROOF FAN FINISH GOOD WAREHOUSE (D-012)</t>
        </is>
      </c>
      <c r="E31" s="8" t="n">
        <v>19152</v>
      </c>
      <c r="F31" s="6" t="inlineStr">
        <is>
          <t>3 PH</t>
        </is>
      </c>
      <c r="G31" s="10">
        <f>$E31/3</f>
        <v/>
      </c>
      <c r="H31" s="10">
        <f>$E31/3</f>
        <v/>
      </c>
      <c r="I31" s="10">
        <f>$E31/3</f>
        <v/>
      </c>
      <c r="J31" s="11" t="inlineStr">
        <is>
          <t>NORMAL OPERATION, QEI-54-200</t>
        </is>
      </c>
    </row>
    <row r="32" ht="15" customHeight="1">
      <c r="A32" s="6" t="n">
        <v>23</v>
      </c>
      <c r="B32" s="6" t="n"/>
      <c r="C32" s="6" t="n"/>
      <c r="D32" s="7" t="inlineStr">
        <is>
          <t>EF D-001.03   ROOF FAN FINISH GOOD WAREHOUSE (D-012)</t>
        </is>
      </c>
      <c r="E32" s="8" t="n">
        <v>19152</v>
      </c>
      <c r="F32" s="6" t="inlineStr">
        <is>
          <t>3 PH</t>
        </is>
      </c>
      <c r="G32" s="10">
        <f>$E32/3</f>
        <v/>
      </c>
      <c r="H32" s="10">
        <f>$E32/3</f>
        <v/>
      </c>
      <c r="I32" s="10">
        <f>$E32/3</f>
        <v/>
      </c>
      <c r="J32" s="11" t="inlineStr">
        <is>
          <t>NORMAL OPERATION, QEI-54-200</t>
        </is>
      </c>
    </row>
    <row r="33" ht="15" customHeight="1">
      <c r="A33" s="6" t="n">
        <v>24</v>
      </c>
      <c r="B33" s="6" t="n"/>
      <c r="C33" s="6" t="n"/>
      <c r="D33" s="7" t="inlineStr">
        <is>
          <t>EF D-001.04   ROOF FAN FINISH GOOD WAREHOUSE (D-012)</t>
        </is>
      </c>
      <c r="E33" s="8" t="n">
        <v>19152</v>
      </c>
      <c r="F33" s="6" t="inlineStr">
        <is>
          <t>3 PH</t>
        </is>
      </c>
      <c r="G33" s="10">
        <f>$E33/3</f>
        <v/>
      </c>
      <c r="H33" s="10">
        <f>$E33/3</f>
        <v/>
      </c>
      <c r="I33" s="10">
        <f>$E33/3</f>
        <v/>
      </c>
      <c r="J33" s="11" t="inlineStr">
        <is>
          <t>NORMAL OPERATION, QEI-54-200</t>
        </is>
      </c>
    </row>
    <row r="34" ht="15" customHeight="1">
      <c r="A34" s="6" t="n">
        <v>25</v>
      </c>
      <c r="B34" s="6" t="n"/>
      <c r="C34" s="6" t="n"/>
      <c r="D34" s="7" t="inlineStr">
        <is>
          <t>EF D-001.05   ROOF FAN FINISH GOOD WAREHOUSE (D-012)</t>
        </is>
      </c>
      <c r="E34" s="8" t="n">
        <v>19152</v>
      </c>
      <c r="F34" s="6" t="inlineStr">
        <is>
          <t>3 PH</t>
        </is>
      </c>
      <c r="G34" s="10">
        <f>$E34/3</f>
        <v/>
      </c>
      <c r="H34" s="10">
        <f>$E34/3</f>
        <v/>
      </c>
      <c r="I34" s="10">
        <f>$E34/3</f>
        <v/>
      </c>
      <c r="J34" s="11" t="inlineStr">
        <is>
          <t>NORMAL OPERATION, QEI-54-200</t>
        </is>
      </c>
    </row>
    <row r="35" ht="15" customHeight="1">
      <c r="A35" s="6" t="n">
        <v>26</v>
      </c>
      <c r="B35" s="6" t="n"/>
      <c r="C35" s="6" t="n"/>
      <c r="D35" s="7" t="inlineStr">
        <is>
          <t>EF D-001.06   ROOF FAN FINISH GOOD WAREHOUSE (D-012)</t>
        </is>
      </c>
      <c r="E35" s="8" t="n">
        <v>19152</v>
      </c>
      <c r="F35" s="6" t="inlineStr">
        <is>
          <t>3 PH</t>
        </is>
      </c>
      <c r="G35" s="10">
        <f>$E35/3</f>
        <v/>
      </c>
      <c r="H35" s="10">
        <f>$E35/3</f>
        <v/>
      </c>
      <c r="I35" s="10">
        <f>$E35/3</f>
        <v/>
      </c>
      <c r="J35" s="11" t="inlineStr">
        <is>
          <t>NORMAL OPERATION, QEI-54-200</t>
        </is>
      </c>
    </row>
    <row r="36" ht="15" customHeight="1">
      <c r="A36" s="6" t="n">
        <v>27</v>
      </c>
      <c r="B36" s="6" t="n"/>
      <c r="C36" s="6" t="n"/>
      <c r="D36" s="7" t="inlineStr">
        <is>
          <t>EF D-001.07   ROOF FAN FINISH GOOD WAREHOUSE (D-012)</t>
        </is>
      </c>
      <c r="E36" s="8" t="n">
        <v>19152</v>
      </c>
      <c r="F36" s="6" t="inlineStr">
        <is>
          <t>3 PH</t>
        </is>
      </c>
      <c r="G36" s="10">
        <f>$E36/3</f>
        <v/>
      </c>
      <c r="H36" s="10">
        <f>$E36/3</f>
        <v/>
      </c>
      <c r="I36" s="10">
        <f>$E36/3</f>
        <v/>
      </c>
      <c r="J36" s="11" t="inlineStr">
        <is>
          <t>NORMAL OPERATION, QEI-54-200</t>
        </is>
      </c>
    </row>
    <row r="37" ht="15" customHeight="1">
      <c r="A37" s="6" t="n">
        <v>28</v>
      </c>
      <c r="B37" s="6" t="n"/>
      <c r="C37" s="6" t="n"/>
      <c r="D37" s="7" t="inlineStr">
        <is>
          <t>EF D-001.08   ROOF FAN FINISH GOOD WAREHOUSE (D-012)</t>
        </is>
      </c>
      <c r="E37" s="8" t="n">
        <v>19152</v>
      </c>
      <c r="F37" s="6" t="inlineStr">
        <is>
          <t>3 PH</t>
        </is>
      </c>
      <c r="G37" s="10">
        <f>$E37/3</f>
        <v/>
      </c>
      <c r="H37" s="10">
        <f>$E37/3</f>
        <v/>
      </c>
      <c r="I37" s="10">
        <f>$E37/3</f>
        <v/>
      </c>
      <c r="J37" s="11" t="inlineStr">
        <is>
          <t>NORMAL OPERATION, QEI-54-200</t>
        </is>
      </c>
    </row>
    <row r="38" ht="15" customHeight="1">
      <c r="A38" s="6" t="n">
        <v>29</v>
      </c>
      <c r="B38" s="12" t="n"/>
      <c r="C38" s="12" t="n"/>
      <c r="D38" s="13" t="inlineStr">
        <is>
          <t>SPARE</t>
        </is>
      </c>
      <c r="E38" s="14" t="n"/>
      <c r="F38" s="12" t="n"/>
      <c r="G38" s="14" t="n"/>
      <c r="H38" s="14" t="n"/>
      <c r="I38" s="14" t="n"/>
      <c r="J38" s="15" t="n"/>
    </row>
    <row r="39" ht="15" customHeight="1">
      <c r="A39" s="6" t="n">
        <v>30</v>
      </c>
      <c r="B39" s="12" t="n"/>
      <c r="C39" s="12" t="n"/>
      <c r="D39" s="13" t="inlineStr">
        <is>
          <t>SPARE</t>
        </is>
      </c>
      <c r="E39" s="14" t="n"/>
      <c r="F39" s="12" t="n"/>
      <c r="G39" s="14" t="n"/>
      <c r="H39" s="14" t="n"/>
      <c r="I39" s="14" t="n"/>
      <c r="J39" s="15" t="n"/>
    </row>
    <row r="40" ht="15" customHeight="1">
      <c r="A40" s="6" t="n">
        <v>31</v>
      </c>
      <c r="B40" s="12" t="n"/>
      <c r="C40" s="12" t="n"/>
      <c r="D40" s="13" t="inlineStr">
        <is>
          <t>SPARE</t>
        </is>
      </c>
      <c r="E40" s="14" t="n"/>
      <c r="F40" s="12" t="n"/>
      <c r="G40" s="14" t="n"/>
      <c r="H40" s="14" t="n"/>
      <c r="I40" s="14" t="n"/>
      <c r="J40" s="15" t="n"/>
    </row>
    <row r="41" ht="15.75" customHeight="1">
      <c r="A41" s="32" t="inlineStr">
        <is>
          <t>SUB TOTAL</t>
        </is>
      </c>
      <c r="B41" s="46" t="n"/>
      <c r="C41" s="46" t="n"/>
      <c r="D41" s="46" t="n"/>
      <c r="E41" s="46" t="n"/>
      <c r="F41" s="45" t="n"/>
      <c r="G41" s="38">
        <f>SUM(G10:G40)</f>
        <v/>
      </c>
      <c r="H41" s="38">
        <f>SUM(H10:H40)</f>
        <v/>
      </c>
      <c r="I41" s="38">
        <f>SUM(I10:I40)</f>
        <v/>
      </c>
      <c r="J41" s="16" t="n"/>
    </row>
    <row r="42" ht="15.75" customHeight="1">
      <c r="A42" s="32" t="inlineStr">
        <is>
          <t>TOTAL WATT</t>
        </is>
      </c>
      <c r="B42" s="46" t="n"/>
      <c r="C42" s="46" t="n"/>
      <c r="D42" s="46" t="n"/>
      <c r="E42" s="46" t="n"/>
      <c r="F42" s="45" t="n"/>
      <c r="G42" s="38">
        <f>SUM(G41:I41)</f>
        <v/>
      </c>
      <c r="H42" s="46" t="n"/>
      <c r="I42" s="45" t="n"/>
      <c r="J42" s="16" t="n"/>
    </row>
    <row r="43" ht="15.75" customHeight="1">
      <c r="A43" s="32" t="inlineStr">
        <is>
          <t>TOTAL VA</t>
        </is>
      </c>
      <c r="B43" s="46" t="n"/>
      <c r="C43" s="46" t="n"/>
      <c r="D43" s="46" t="n"/>
      <c r="E43" s="46" t="n"/>
      <c r="F43" s="45" t="n"/>
      <c r="G43" s="38">
        <f>G42/$C$5</f>
        <v/>
      </c>
      <c r="H43" s="46" t="n"/>
      <c r="I43" s="45" t="n"/>
      <c r="J43" s="16" t="n"/>
    </row>
    <row r="44" ht="15.75" customHeight="1">
      <c r="A44" s="32" t="inlineStr">
        <is>
          <t>CONNECTED AMPERE</t>
        </is>
      </c>
      <c r="B44" s="46" t="n"/>
      <c r="C44" s="46" t="n"/>
      <c r="D44" s="46" t="n"/>
      <c r="E44" s="46" t="n"/>
      <c r="F44" s="45" t="n"/>
      <c r="G44" s="38">
        <f>G43/(SQRT(3)*$C$6)</f>
        <v/>
      </c>
      <c r="H44" s="46" t="n"/>
      <c r="I44" s="45" t="n"/>
      <c r="J44" s="16" t="n"/>
    </row>
    <row r="45" ht="15" customHeight="1">
      <c r="A45" s="32" t="inlineStr">
        <is>
          <t>DIVERSITY FACTOR Ku</t>
        </is>
      </c>
      <c r="B45" s="46" t="n"/>
      <c r="C45" s="46" t="n"/>
      <c r="D45" s="46" t="n"/>
      <c r="E45" s="46" t="n"/>
      <c r="F45" s="45" t="n"/>
      <c r="G45" s="39" t="n">
        <v>0.9</v>
      </c>
      <c r="H45" s="46" t="n"/>
      <c r="I45" s="45" t="n"/>
      <c r="J45" s="16" t="n"/>
    </row>
    <row r="46" ht="15" customHeight="1">
      <c r="A46" s="32" t="inlineStr">
        <is>
          <t>SPARE</t>
        </is>
      </c>
      <c r="B46" s="46" t="n"/>
      <c r="C46" s="46" t="n"/>
      <c r="D46" s="46" t="n"/>
      <c r="E46" s="46" t="n"/>
      <c r="F46" s="45" t="n"/>
      <c r="G46" s="35" t="n">
        <v>0.2</v>
      </c>
      <c r="H46" s="46" t="n"/>
      <c r="I46" s="45" t="n"/>
      <c r="J46" s="16" t="n"/>
    </row>
    <row r="47" ht="15" customHeight="1">
      <c r="A47" s="32" t="inlineStr">
        <is>
          <t>Pact (kW) = TOTAL WATT x Ku x (1 + SPARE) / 1000</t>
        </is>
      </c>
      <c r="B47" s="46" t="n"/>
      <c r="C47" s="46" t="n"/>
      <c r="D47" s="46" t="n"/>
      <c r="E47" s="46" t="n"/>
      <c r="F47" s="45" t="n"/>
      <c r="G47" s="36">
        <f>G42*G45*(1+G46)/1000</f>
        <v/>
      </c>
      <c r="H47" s="46" t="n"/>
      <c r="I47" s="45" t="n"/>
      <c r="J47" s="16" t="n"/>
    </row>
    <row r="48" ht="15" customHeight="1">
      <c r="A48" s="32" t="inlineStr">
        <is>
          <t>DESIGN AMPERE = Pact / (SQRT(3) x V x cos phi)</t>
        </is>
      </c>
      <c r="B48" s="46" t="n"/>
      <c r="C48" s="46" t="n"/>
      <c r="D48" s="46" t="n"/>
      <c r="E48" s="46" t="n"/>
      <c r="F48" s="45" t="n"/>
      <c r="G48" s="37">
        <f>G47*1000/(SQRT(3)*$C$6*$C$5)</f>
        <v/>
      </c>
      <c r="H48" s="46" t="n"/>
      <c r="I48" s="45" t="n"/>
      <c r="J48" s="16" t="n"/>
    </row>
    <row r="49" ht="15" customHeight="1">
      <c r="A49" s="32" t="inlineStr">
        <is>
          <t>INCOMING (lihat catatan 5)</t>
        </is>
      </c>
      <c r="B49" s="46" t="n"/>
      <c r="C49" s="46" t="n"/>
      <c r="D49" s="46" t="n"/>
      <c r="E49" s="46" t="n"/>
      <c r="F49" s="45" t="n"/>
      <c r="G49" s="33" t="inlineStr">
        <is>
          <t>MCCB-3P 1250A</t>
        </is>
      </c>
      <c r="H49" s="46" t="n"/>
      <c r="I49" s="45" t="n"/>
      <c r="J49" s="16" t="n"/>
    </row>
    <row r="50" ht="15" customHeight="1">
      <c r="A50" s="31" t="n"/>
    </row>
    <row r="51" ht="15" customHeight="1">
      <c r="A51" s="34" t="inlineStr">
        <is>
          <t>SUMBER DATA &amp; RUMUS</t>
        </is>
      </c>
    </row>
    <row r="52" ht="15" customHeight="1">
      <c r="A52" s="31" t="inlineStr">
        <is>
          <t>1.  Beban (kolom LOAD EQUIPMENT) diambil dari TD HVAC EQUIPMENT SCHEDULE FG WAREHOUSE (sheet FAN: ESTIMATED FAN MOTOR POWER).</t>
        </is>
      </c>
    </row>
    <row r="53" ht="15" customHeight="1">
      <c r="A53" s="31" t="inlineStr">
        <is>
          <t>2.  DEMAND LOAD R/S/T = beban circuit; circuit 3 fase dibagi rata 3 (=$E/3). Beban 1 fase dirotasi R-S-T.</t>
        </is>
      </c>
    </row>
    <row r="54" ht="15" customHeight="1">
      <c r="A54" s="31" t="inlineStr">
        <is>
          <t>3.  SUB TOTAL = SUM per kolom fase; TOTAL WATT = R + S + T; TOTAL VA = TOTAL WATT / cos phi (C5);</t>
        </is>
      </c>
    </row>
    <row r="55" ht="15" customHeight="1">
      <c r="A55" s="31" t="inlineStr">
        <is>
          <t xml:space="preserve">     CONNECTED AMPERE = TOTAL VA / (SQRT(3) x V L-L) (C6).</t>
        </is>
      </c>
    </row>
    <row r="56" ht="15" customHeight="1">
      <c r="A56" s="31" t="inlineStr">
        <is>
          <t>4.  Ukuran breaker &amp; kabel: I = P / (SQRT(3) x 380 x 0.8), dikali 1.25 untuk circuit motor, dibulatkan</t>
        </is>
      </c>
    </row>
    <row r="57" ht="15" customHeight="1">
      <c r="A57" s="31" t="inlineStr">
        <is>
          <t xml:space="preserve">     ke rating standar terdekat. ASUMSI PERENCANA - harap dicek terhadap data motor aktual dari vendor.</t>
        </is>
      </c>
    </row>
    <row r="58" ht="15" customHeight="1">
      <c r="A58" s="31" t="inlineStr">
        <is>
          <t>5.  Incoming: MCCB-3P 1250A 36kA dari DEG, kabel 4x(1x4C-240mm² Cu/MGT/XLPE/LSZH (FRC)) + 2x(1C-120mm² G/Y), CT 1250/5A.</t>
        </is>
      </c>
    </row>
    <row r="59" ht="15" customHeight="1">
      <c r="A59" s="31" t="inlineStr">
        <is>
          <t xml:space="preserve">     Dipilih dari DESIGN AMPERE (Pact = Pt x Ku x (1 + spare)). ASUMSI - koordinasikan dengan kapasitas DEG.</t>
        </is>
      </c>
    </row>
    <row r="60" ht="15" customHeight="1">
      <c r="A60" s="30" t="inlineStr">
        <is>
          <t>6.  Sel kuning (cos phi, tegangan, LOAD EQUIPMENT, Ku, spare) adalah input - boleh diubah.</t>
        </is>
      </c>
    </row>
    <row r="61" ht="15" customHeight="1">
      <c r="A61" s="30" t="inlineStr">
        <is>
          <t>7.  EF D-001.09~28 SMOKE EXTRACT (ACTIVE ON EMERGENCY) + EF D-001.01~08 NORMAL, semua dengan kontaktor 24VDC</t>
        </is>
      </c>
    </row>
    <row r="62" ht="15" customHeight="1">
      <c r="A62" s="30" t="inlineStr">
        <is>
          <t xml:space="preserve">     interlock ke fire alarm (FRC 1x2C-2.5mm²). Daya 15.96 kW x 1.2 = 19.152 kW/unit sesuai sheet FAN.</t>
        </is>
      </c>
    </row>
    <row r="63" ht="15" customHeight="1">
      <c r="A63" s="30" t="inlineStr">
        <is>
          <t>8.  Sesuai note 12 sheet FAN: BS EN 12101-3 F400/120, motor class H, kabel tahan api, emergency overload bypass.</t>
        </is>
      </c>
    </row>
    <row r="64" ht="15" customHeight="1">
      <c r="A64" s="30" t="inlineStr">
        <is>
          <t>9.  Kabel FRC 25mm² (emergency) / 16mm² (normal) per fan = ASUMSI, cek derating grouping di tray.</t>
        </is>
      </c>
    </row>
  </sheetData>
  <mergeCells count="44">
    <mergeCell ref="A41:F41"/>
    <mergeCell ref="A46:F46"/>
    <mergeCell ref="A62:J62"/>
    <mergeCell ref="A53:J53"/>
    <mergeCell ref="B8:B9"/>
    <mergeCell ref="A4:J4"/>
    <mergeCell ref="G49:I49"/>
    <mergeCell ref="A52:J52"/>
    <mergeCell ref="A6:B6"/>
    <mergeCell ref="E8:F8"/>
    <mergeCell ref="A63:J63"/>
    <mergeCell ref="A47:F47"/>
    <mergeCell ref="A42:F42"/>
    <mergeCell ref="A58:J58"/>
    <mergeCell ref="G45:I45"/>
    <mergeCell ref="A59:J59"/>
    <mergeCell ref="A64:J64"/>
    <mergeCell ref="A60:J60"/>
    <mergeCell ref="A43:F43"/>
    <mergeCell ref="A51:J51"/>
    <mergeCell ref="G47:I47"/>
    <mergeCell ref="A1:J1"/>
    <mergeCell ref="A8:A9"/>
    <mergeCell ref="C8:C9"/>
    <mergeCell ref="G44:I44"/>
    <mergeCell ref="A61:J61"/>
    <mergeCell ref="A44:F44"/>
    <mergeCell ref="G46:I46"/>
    <mergeCell ref="A5:B5"/>
    <mergeCell ref="D8:D9"/>
    <mergeCell ref="A48:F48"/>
    <mergeCell ref="A54:J54"/>
    <mergeCell ref="G43:I43"/>
    <mergeCell ref="A49:F49"/>
    <mergeCell ref="G42:I42"/>
    <mergeCell ref="J8:J9"/>
    <mergeCell ref="A45:F45"/>
    <mergeCell ref="A56:J56"/>
    <mergeCell ref="A3:J3"/>
    <mergeCell ref="G8:I8"/>
    <mergeCell ref="A55:J55"/>
    <mergeCell ref="G48:I48"/>
    <mergeCell ref="A57:J57"/>
    <mergeCell ref="A2:J2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zoomScaleNormal="100" workbookViewId="0">
      <selection activeCell="E13" sqref="E13"/>
    </sheetView>
  </sheetViews>
  <sheetFormatPr baseColWidth="8" defaultColWidth="8.7109375" defaultRowHeight="15"/>
  <cols>
    <col width="18" customWidth="1" min="1" max="1"/>
    <col width="6" customWidth="1" min="2" max="2"/>
    <col width="44" customWidth="1" min="3" max="3"/>
    <col width="14" customWidth="1" min="4" max="4"/>
    <col width="8" customWidth="1" min="5" max="5"/>
    <col width="7" customWidth="1" min="6" max="6"/>
    <col width="6" customWidth="1" min="7" max="7"/>
    <col width="9" customWidth="1" min="8" max="8"/>
    <col width="10" customWidth="1" min="9" max="9"/>
    <col width="6" customWidth="1" min="10" max="10"/>
    <col width="11" customWidth="1" min="11" max="11"/>
    <col width="9" customWidth="1" min="12" max="12"/>
    <col width="10" customWidth="1" min="13" max="13"/>
    <col width="9" customWidth="1" min="14" max="16"/>
    <col width="16" customWidth="1" min="17" max="17"/>
  </cols>
  <sheetData>
    <row r="1" ht="17.25" customHeight="1">
      <c r="A1" s="18" t="inlineStr">
        <is>
          <t>PERHITUNGAN KABEL FEEDER INCOMING  -  CP-FGW-L0-MVAC (GABUNGAN L0 + L1, DARI MDB-FGW-L0)</t>
        </is>
      </c>
    </row>
    <row r="2" ht="15" customHeight="1">
      <c r="A2" s="19" t="inlineStr">
        <is>
          <t>Basis: IEC 60364-5-52 (ampacity &amp; faktor koreksi) + IEC 60364-4-43 (Ib &lt;= In &lt;= Iz)</t>
        </is>
      </c>
    </row>
    <row r="4" ht="15" customHeight="1">
      <c r="A4" s="20" t="inlineStr">
        <is>
          <t>DATA UMUM  (sel kuning = input)</t>
        </is>
      </c>
    </row>
    <row r="5" ht="15" customHeight="1">
      <c r="A5" s="19" t="inlineStr">
        <is>
          <t>U  - Tegangan line-line</t>
        </is>
      </c>
      <c r="C5" s="21">
        <f>'CP-FGW-L0-MVAC'!C6</f>
        <v/>
      </c>
      <c r="D5" s="19" t="inlineStr">
        <is>
          <t>V</t>
        </is>
      </c>
    </row>
    <row r="6" ht="15" customHeight="1">
      <c r="A6" s="19" t="inlineStr">
        <is>
          <t>cos phi</t>
        </is>
      </c>
      <c r="C6" s="22">
        <f>'CP-FGW-L0-MVAC'!C5</f>
        <v/>
      </c>
      <c r="D6" s="19" t="inlineStr">
        <is>
          <t>-</t>
        </is>
      </c>
    </row>
    <row r="7" ht="15" customHeight="1">
      <c r="A7" s="19" t="inlineStr">
        <is>
          <t>sin phi</t>
        </is>
      </c>
      <c r="C7" s="23">
        <f>SQRT(1-C6^2)</f>
        <v/>
      </c>
      <c r="D7" s="19" t="inlineStr">
        <is>
          <t>-</t>
        </is>
      </c>
    </row>
    <row r="8" ht="15" customHeight="1">
      <c r="A8" s="19" t="inlineStr">
        <is>
          <t>Ca - faktor koreksi suhu 40C (XLPE)</t>
        </is>
      </c>
      <c r="C8" s="24" t="n">
        <v>0.91</v>
      </c>
      <c r="D8" s="19" t="inlineStr">
        <is>
          <t>-</t>
        </is>
      </c>
    </row>
    <row r="9" ht="15" customHeight="1">
      <c r="A9" s="19" t="inlineStr">
        <is>
          <t>Batas drop tegangan</t>
        </is>
      </c>
      <c r="C9" s="25" t="n">
        <v>0.04</v>
      </c>
      <c r="D9" s="19" t="inlineStr">
        <is>
          <t>-</t>
        </is>
      </c>
    </row>
    <row r="12" ht="42" customHeight="1">
      <c r="A12" s="40" t="inlineStr">
        <is>
          <t>PANEL</t>
        </is>
      </c>
      <c r="B12" s="40" t="inlineStr">
        <is>
          <t>OPSI</t>
        </is>
      </c>
      <c r="C12" s="40" t="inlineStr">
        <is>
          <t>KONFIGURASI KABEL</t>
        </is>
      </c>
      <c r="D12" s="40" t="inlineStr">
        <is>
          <t>Ib (A)
DESIGN AMPERE</t>
        </is>
      </c>
      <c r="E12" s="40" t="inlineStr">
        <is>
          <t>In (A)</t>
        </is>
      </c>
      <c r="F12" s="40" t="inlineStr">
        <is>
          <t>L (m)</t>
        </is>
      </c>
      <c r="G12" s="40" t="inlineStr">
        <is>
          <t>RUN</t>
        </is>
      </c>
      <c r="H12" s="40" t="inlineStr">
        <is>
          <t>LUAS mm²</t>
        </is>
      </c>
      <c r="I12" s="40" t="inlineStr">
        <is>
          <t>Iz TABEL A/run</t>
        </is>
      </c>
      <c r="J12" s="40" t="inlineStr">
        <is>
          <t>Cg</t>
        </is>
      </c>
      <c r="K12" s="40" t="inlineStr">
        <is>
          <t>Iz TOTAL (A)</t>
        </is>
      </c>
      <c r="L12" s="40" t="inlineStr">
        <is>
          <t>Ib&lt;=In&lt;=Iz ?</t>
        </is>
      </c>
      <c r="M12" s="40" t="inlineStr">
        <is>
          <t>R90 ohm/km</t>
        </is>
      </c>
      <c r="N12" s="40" t="inlineStr">
        <is>
          <t>X ohm/km</t>
        </is>
      </c>
      <c r="O12" s="40" t="inlineStr">
        <is>
          <t>DROP (V)</t>
        </is>
      </c>
      <c r="P12" s="40" t="inlineStr">
        <is>
          <t>DROP (%)</t>
        </is>
      </c>
      <c r="Q12" s="40" t="inlineStr">
        <is>
          <t>HASIL</t>
        </is>
      </c>
    </row>
    <row r="13" ht="15" customHeight="1">
      <c r="A13" s="7" t="inlineStr">
        <is>
          <t>CP-FGW-L0-MVAC</t>
        </is>
      </c>
      <c r="B13" s="6" t="inlineStr">
        <is>
          <t>A</t>
        </is>
      </c>
      <c r="C13" s="7" t="inlineStr">
        <is>
          <t>2x(4C x 240mm²) Cu/XLPE/PVC + 1x(1C x 120mm²) G/Y</t>
        </is>
      </c>
      <c r="D13" s="26">
        <f>'CP-FGW-L0-MVAC'!G85</f>
        <v/>
      </c>
      <c r="E13" s="27" t="n">
        <v>500</v>
      </c>
      <c r="F13" s="27" t="n">
        <v>100</v>
      </c>
      <c r="G13" s="27" t="n">
        <v>2</v>
      </c>
      <c r="H13" s="27" t="n">
        <v>240</v>
      </c>
      <c r="I13" s="27" t="n">
        <v>538</v>
      </c>
      <c r="J13" s="27" t="n">
        <v>0.88</v>
      </c>
      <c r="K13" s="26">
        <f>I13*$C$8*J13*G13</f>
        <v/>
      </c>
      <c r="L13" s="6">
        <f>IF(AND(D13&lt;=E13,K13&gt;=E13),"OK","TIDAK")</f>
        <v/>
      </c>
      <c r="M13" s="27" t="n">
        <v>0.0961</v>
      </c>
      <c r="N13" s="27" t="n">
        <v>0.07000000000000001</v>
      </c>
      <c r="O13" s="28">
        <f>SQRT(3)*D13*F13/1000*(M13*$C$6+N13*$C$7)/G13</f>
        <v/>
      </c>
      <c r="P13" s="29">
        <f>O13/$C$5</f>
        <v/>
      </c>
      <c r="Q13" s="6">
        <f>IF(AND(L13="OK",P13&lt;=$C$9),"MEMENUHI","TIDAK MEMENUHI")</f>
        <v/>
      </c>
    </row>
    <row r="14" ht="15" customHeight="1">
      <c r="A14" s="7" t="inlineStr">
        <is>
          <t>CP-FGW-L0-MVAC</t>
        </is>
      </c>
      <c r="B14" s="6" t="inlineStr">
        <is>
          <t>B</t>
        </is>
      </c>
      <c r="C14" s="7" t="inlineStr">
        <is>
          <t>2x(4C x 185mm²) Cu/XLPE/PVC + 1x(1C x 95mm²) G/Y</t>
        </is>
      </c>
      <c r="D14" s="26">
        <f>'CP-FGW-L0-MVAC'!G85</f>
        <v/>
      </c>
      <c r="E14" s="27" t="n">
        <v>500</v>
      </c>
      <c r="F14" s="27" t="n">
        <v>100</v>
      </c>
      <c r="G14" s="27" t="n">
        <v>2</v>
      </c>
      <c r="H14" s="27" t="n">
        <v>185</v>
      </c>
      <c r="I14" s="27" t="n">
        <v>456</v>
      </c>
      <c r="J14" s="27" t="n">
        <v>0.88</v>
      </c>
      <c r="K14" s="26">
        <f>I14*$C$8*J14*G14</f>
        <v/>
      </c>
      <c r="L14" s="6">
        <f>IF(AND(D14&lt;=E14,K14&gt;=E14),"OK","TIDAK")</f>
        <v/>
      </c>
      <c r="M14" s="27" t="n">
        <v>0.1247</v>
      </c>
      <c r="N14" s="27" t="n">
        <v>0.07199999999999999</v>
      </c>
      <c r="O14" s="28">
        <f>SQRT(3)*D14*F14/1000*(M14*$C$6+N14*$C$7)/G14</f>
        <v/>
      </c>
      <c r="P14" s="29">
        <f>O14/$C$5</f>
        <v/>
      </c>
      <c r="Q14" s="6">
        <f>IF(AND(L14="OK",P14&lt;=$C$9),"MEMENUHI","TIDAK MEMENUHI")</f>
        <v/>
      </c>
    </row>
    <row r="15" ht="15" customHeight="1">
      <c r="A15" s="7" t="n"/>
      <c r="B15" s="6" t="n"/>
      <c r="C15" s="7" t="n"/>
      <c r="D15" s="26" t="n"/>
      <c r="E15" s="27" t="n"/>
      <c r="F15" s="27" t="n"/>
      <c r="G15" s="27" t="n"/>
      <c r="H15" s="27" t="n"/>
      <c r="I15" s="27" t="n"/>
      <c r="J15" s="27" t="n"/>
      <c r="K15" s="26" t="n"/>
      <c r="L15" s="6" t="n"/>
      <c r="M15" s="27" t="n"/>
      <c r="N15" s="27" t="n"/>
      <c r="O15" s="28" t="n"/>
      <c r="P15" s="29" t="n"/>
      <c r="Q15" s="6" t="n"/>
    </row>
    <row r="16" ht="15" customHeight="1">
      <c r="A16" s="7" t="n"/>
      <c r="B16" s="6" t="n"/>
      <c r="C16" s="7" t="n"/>
      <c r="D16" s="26" t="n"/>
      <c r="E16" s="27" t="n"/>
      <c r="F16" s="27" t="n"/>
      <c r="G16" s="27" t="n"/>
      <c r="H16" s="27" t="n"/>
      <c r="I16" s="27" t="n"/>
      <c r="J16" s="27" t="n"/>
      <c r="K16" s="26" t="n"/>
      <c r="L16" s="6" t="n"/>
      <c r="M16" s="27" t="n"/>
      <c r="N16" s="27" t="n"/>
      <c r="O16" s="28" t="n"/>
      <c r="P16" s="29" t="n"/>
      <c r="Q16" s="6" t="n"/>
    </row>
    <row r="19" ht="15" customHeight="1">
      <c r="A19" s="20" t="inlineStr">
        <is>
          <t>CATATAN</t>
        </is>
      </c>
    </row>
    <row r="20" ht="15" customHeight="1">
      <c r="A20" s="30" t="inlineStr">
        <is>
          <t>1.  Iz TABEL = IEC 60364-5-52 tabel B.52.12, Cu/XLPE 90C, 3 konduktor berbeban, 30C, metode E (multicore di tray). Konservatif; ganti dengan datasheet pabrikan (terutama kabel FRC).</t>
        </is>
      </c>
    </row>
    <row r="21" ht="15" customHeight="1">
      <c r="A21" s="30" t="inlineStr">
        <is>
          <t>2.  Cg = pengelompokan run paralel bersentuhan: 1 = 1.00, 2 = 0.88, 3 = 0.82, 4 = 0.77, 5 = 0.75.</t>
        </is>
      </c>
    </row>
    <row r="22" ht="15" customHeight="1">
      <c r="A22" s="30" t="inlineStr">
        <is>
          <t>3.  R90 &amp; X = nilai tipikal Cu/XLPE multicore (ohm/km). Ganti dengan data pabrikan.</t>
        </is>
      </c>
    </row>
    <row r="23" ht="15" customHeight="1">
      <c r="A23" s="30" t="inlineStr">
        <is>
          <t>4.  Drop tegangan: dV = SQRT(3) x Ib x L x (R cos phi + X sin phi) / jumlah run.</t>
        </is>
      </c>
    </row>
    <row r="24" ht="15" customHeight="1">
      <c r="A24" s="30" t="inlineStr">
        <is>
          <t>5.  Panjang feeder 100 m = ASUMSI; sesuaikan dengan routing aktual.</t>
        </is>
      </c>
    </row>
    <row r="25" ht="15" customHeight="1">
      <c r="A25" s="30" t="inlineStr">
        <is>
          <t>6.  Run paralel wajib identik (IEC 60364-5-52 cl.523.7). PE mengikuti IEC 60364-5-54 (S &gt; 35mm2 -&gt; S/2).</t>
        </is>
      </c>
    </row>
    <row r="26" ht="15" customHeight="1">
      <c r="A26" s="30" t="inlineStr">
        <is>
          <t>7.  Feeder incoming panel dari MDB-FGW-L0 memakai kabel Cu/XLPE/PVC biasa; kabel tahan api (FRC) hanya untuk circuit fan smoke extract.</t>
        </is>
      </c>
    </row>
    <row r="27" ht="15" customHeight="1">
      <c r="A27" s="30" t="inlineStr">
        <is>
          <t>8.  Ib = DESIGN AMPERE tiap panel (Pact = Pt x Ku x (1 + spare)), sama dengan dasar pemilihan incoming di gambar.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2026-09-17T06:58:16Z</dcterms:created>
  <dcterms:modified xmlns:dcterms="http://purl.org/dc/terms/" xmlns:xsi="http://www.w3.org/2001/XMLSchema-instance" xsi:type="dcterms:W3CDTF">2026-10-22T09:58:25Z</dcterms:modified>
  <cp:lastModifiedBy>Muhammad Asyrori</cp:lastModifiedBy>
  <cp:revision>0</cp:revision>
</cp:coreProperties>
</file>